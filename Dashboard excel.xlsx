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alhi\Downloads\38833FF26BA1D.UnigramPreview_g9c9v27vpyspw!App\"/>
    </mc:Choice>
  </mc:AlternateContent>
  <xr:revisionPtr revIDLastSave="0" documentId="8_{A709610E-38EA-4683-8633-5B14B36D7BDA}" xr6:coauthVersionLast="47" xr6:coauthVersionMax="47" xr10:uidLastSave="{00000000-0000-0000-0000-000000000000}"/>
  <bookViews>
    <workbookView xWindow="-108" yWindow="-108" windowWidth="23256" windowHeight="12456" activeTab="2" xr2:uid="{408BA6AB-5196-496B-9C80-B057CC378CDA}"/>
  </bookViews>
  <sheets>
    <sheet name="Sheet1" sheetId="1" r:id="rId1"/>
    <sheet name="pivotTables" sheetId="3" r:id="rId2"/>
    <sheet name="Dashboard" sheetId="2"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3" l="1"/>
  <c r="I11" i="3"/>
  <c r="I12" i="3"/>
  <c r="I15" i="3"/>
  <c r="I14" i="3"/>
  <c r="I18" i="3"/>
  <c r="I19" i="3"/>
  <c r="I16" i="3"/>
  <c r="AB15" i="3"/>
  <c r="O8" i="3"/>
  <c r="O10" i="3"/>
  <c r="O9" i="3"/>
  <c r="X15" i="3"/>
  <c r="B11" i="3"/>
  <c r="E14" i="3"/>
  <c r="T10" i="3"/>
  <c r="AB14" i="3"/>
  <c r="AB13" i="3"/>
  <c r="AB12" i="3"/>
  <c r="F14" i="3"/>
  <c r="F12" i="3"/>
  <c r="F16" i="3"/>
  <c r="X12" i="3"/>
  <c r="B10" i="3"/>
  <c r="X10" i="3"/>
  <c r="B12" i="3"/>
  <c r="X13" i="3"/>
  <c r="AB11" i="3"/>
  <c r="O11" i="3"/>
  <c r="E13" i="3"/>
  <c r="E12" i="3"/>
  <c r="B9" i="3"/>
  <c r="X11" i="3"/>
  <c r="E11" i="3"/>
  <c r="X14" i="3"/>
  <c r="T14" i="3"/>
  <c r="AB10" i="3"/>
  <c r="F15" i="3"/>
  <c r="T15" i="3"/>
  <c r="T13" i="3"/>
  <c r="E16" i="3"/>
  <c r="F13" i="3"/>
  <c r="F11" i="3"/>
  <c r="E15" i="3"/>
  <c r="T11" i="3"/>
  <c r="T12" i="3"/>
  <c r="J18" i="3" l="1"/>
  <c r="K18" i="3" s="1"/>
  <c r="P8" i="3"/>
  <c r="Q8" i="3" s="1"/>
  <c r="P9" i="3"/>
  <c r="Q9" i="3" s="1"/>
  <c r="P10" i="3"/>
  <c r="Q10" i="3" s="1"/>
  <c r="J19" i="3"/>
  <c r="K19" i="3" s="1"/>
</calcChain>
</file>

<file path=xl/sharedStrings.xml><?xml version="1.0" encoding="utf-8"?>
<sst xmlns="http://schemas.openxmlformats.org/spreadsheetml/2006/main" count="866" uniqueCount="228">
  <si>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</si>
  <si>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</si>
  <si>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</si>
  <si>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</si>
  <si>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</si>
  <si>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</si>
  <si>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</si>
  <si>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</si>
  <si>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</si>
  <si>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</si>
  <si>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</si>
  <si>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</si>
  <si>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</si>
  <si>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</si>
  <si>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</si>
  <si>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</si>
  <si>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</si>
  <si>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</si>
  <si>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</si>
  <si>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</si>
  <si>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</si>
  <si>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</si>
  <si>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</si>
  <si>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</si>
  <si>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</si>
  <si>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</si>
  <si>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</si>
  <si>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</si>
  <si>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</si>
  <si>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</si>
  <si>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</si>
  <si>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</si>
  <si>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</si>
  <si>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</si>
  <si>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</si>
  <si>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</si>
  <si>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</si>
  <si>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</si>
  <si>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</si>
  <si>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</si>
  <si>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</si>
  <si>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</si>
  <si>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</si>
  <si>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</si>
  <si>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</si>
  <si>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</si>
  <si>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</si>
  <si>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</si>
  <si>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</si>
  <si>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</si>
  <si>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</si>
  <si>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</si>
  <si>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</si>
  <si>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</si>
  <si>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</si>
  <si>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</si>
  <si>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</si>
  <si>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</si>
  <si>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</si>
  <si>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</si>
  <si>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</si>
  <si>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</si>
  <si>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</si>
  <si>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</si>
  <si>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</si>
  <si>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</si>
  <si>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</si>
  <si>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</si>
  <si>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</si>
  <si>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</si>
  <si>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</si>
  <si>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</si>
  <si>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</si>
  <si>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</si>
  <si>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</si>
  <si>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</si>
  <si>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</si>
  <si>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</si>
  <si>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</si>
  <si>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</si>
  <si>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</si>
  <si>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</si>
  <si>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</si>
  <si>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</si>
  <si>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</si>
  <si>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</si>
  <si>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</si>
  <si>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</si>
  <si>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</si>
  <si>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</si>
  <si>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</si>
  <si>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</si>
  <si>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</si>
  <si>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</si>
  <si>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</si>
  <si>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</si>
  <si>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</si>
  <si>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</si>
  <si>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</si>
  <si>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</si>
  <si>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</si>
  <si>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</si>
  <si>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</si>
  <si>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</si>
  <si>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</si>
  <si>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</si>
  <si>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</si>
  <si>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</si>
  <si>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</si>
  <si>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</si>
  <si>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</si>
  <si>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</si>
  <si>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</si>
  <si>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</si>
  <si>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</si>
  <si>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</si>
  <si>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</si>
  <si>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</si>
  <si>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</si>
  <si>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</si>
  <si>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</si>
  <si>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</si>
  <si>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</si>
  <si>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</si>
  <si>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</si>
  <si>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</si>
  <si>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</si>
  <si>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</si>
  <si>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</si>
  <si>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</si>
  <si>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</si>
  <si>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</si>
  <si>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</si>
  <si>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</si>
  <si>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</si>
  <si>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</si>
  <si>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</si>
  <si>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</si>
  <si>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</si>
  <si>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</si>
  <si>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</si>
  <si>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</si>
  <si>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</si>
  <si>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</si>
  <si>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</si>
  <si>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</si>
  <si>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</si>
  <si>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</si>
  <si>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</si>
  <si>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</si>
  <si>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</si>
  <si>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</si>
  <si>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</si>
  <si>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</si>
  <si>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</si>
  <si>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</si>
  <si>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</si>
  <si>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</si>
  <si>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</si>
  <si>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</si>
  <si>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</si>
  <si>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</si>
  <si>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</si>
  <si>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</si>
  <si>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</si>
  <si>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</si>
  <si>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</si>
  <si>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</si>
  <si>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</si>
  <si>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</si>
  <si>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</si>
  <si>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</si>
  <si>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</si>
  <si>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</si>
  <si>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</si>
  <si>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</si>
  <si>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</si>
  <si>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</si>
  <si>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</si>
  <si>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</si>
  <si>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</si>
  <si>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</si>
  <si>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</si>
  <si>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</si>
  <si>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</si>
  <si>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</si>
  <si>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</si>
  <si>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</si>
  <si>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</si>
  <si>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</si>
  <si>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</si>
  <si>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</si>
  <si>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</si>
  <si>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</si>
  <si>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</si>
  <si>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</si>
  <si>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</si>
  <si>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</si>
  <si>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</si>
  <si>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</si>
  <si>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</si>
  <si>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</si>
  <si>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</si>
  <si>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</si>
  <si>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</si>
  <si>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</si>
  <si>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</si>
  <si>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</si>
  <si>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</si>
  <si>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</si>
  <si>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</si>
  <si>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</si>
  <si>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</si>
  <si>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</si>
  <si>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</si>
  <si>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</si>
  <si>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</si>
  <si>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employment status</t>
  </si>
  <si>
    <t>Total</t>
  </si>
  <si>
    <t>Sum of Salary</t>
  </si>
  <si>
    <t>Sales to departments</t>
  </si>
  <si>
    <t>Column Labels</t>
  </si>
  <si>
    <t>Age range to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</si>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</sst>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8">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sz val="11"/>
      <color theme="1"/>
      <name val="Kulim park"/>
      <charset val="178"/>
    </font>
    <font>
      <b/>
      <sz val="11"/>
      <color theme="1"/>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rgb="FF282828"/>
        <bgColor indexed="64"/>
      </patternFill>
    </fill>
    <fill>
      <patternFill patternType="solid">
        <fgColor theme="2" tint="-0.249977111117893"/>
        <bgColor indexed="64"/>
      </patternFill>
    </fill>
    <fill>
      <patternFill patternType="solid">
        <fgColor theme="6" tint="0.79998168889431442"/>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9">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5"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xf numFmtId="164" fontId="0" fillId="0" borderId="0" xfId="1" applyNumberFormat="1" applyFont="1"/>
    <xf numFmtId="0" fontId="0" fillId="4" borderId="0" xfId="0" applyFill="1"/>
    <xf numFmtId="9" fontId="6" fillId="0" borderId="0" xfId="2" applyFont="1"/>
    <xf numFmtId="9" fontId="0" fillId="0" borderId="0" xfId="0" applyNumberFormat="1"/>
    <xf numFmtId="0" fontId="0" fillId="3" borderId="0" xfId="0" applyFill="1" applyAlignment="1">
      <alignment horizontal="center"/>
    </xf>
    <xf numFmtId="0" fontId="0" fillId="0" borderId="0" xfId="0" applyAlignment="1">
      <alignment horizontal="right"/>
    </xf>
    <xf numFmtId="0" fontId="7" fillId="4" borderId="0" xfId="0" applyFont="1" applyFill="1"/>
    <xf numFmtId="165" fontId="0" fillId="0" borderId="0" xfId="0" applyNumberFormat="1"/>
    <xf numFmtId="0" fontId="0" fillId="3" borderId="0" xfId="0" applyFill="1" applyAlignment="1">
      <alignment horizontal="center"/>
    </xf>
    <xf numFmtId="0" fontId="0" fillId="0" borderId="0" xfId="0" applyNumberFormat="1"/>
  </cellXfs>
  <cellStyles count="3">
    <cellStyle name="Comma" xfId="1" builtinId="3"/>
    <cellStyle name="Normal" xfId="0" builtinId="0"/>
    <cellStyle name="Percent" xfId="2" builtinId="5"/>
  </cellStyles>
  <dxfs count="54">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164" formatCode="_-* #,##0_-;\-* #,##0_-;_-* &quot;-&quot;??_-;_-@_-"/>
    </dxf>
    <dxf>
      <numFmt numFmtId="165"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name val="Kulim park semiBold"/>
        <charset val="178"/>
      </font>
      <fill>
        <patternFill>
          <fgColor rgb="FF282828"/>
          <bgColor rgb="FF292929"/>
        </patternFill>
      </fill>
    </dxf>
  </dxfs>
  <tableStyles count="1" defaultTableStyle="TableStyleMedium2" defaultPivotStyle="PivotStyleLight16">
    <tableStyle name="Slicer Style 1" pivot="0" table="0" count="4" xr9:uid="{7F2673B8-A7BF-4670-86B1-13772C9F7336}">
      <tableStyleElement type="wholeTable" dxfId="53"/>
    </tableStyle>
  </tableStyles>
  <colors>
    <mruColors>
      <color rgb="FF292929"/>
      <color rgb="FF282828"/>
      <color rgb="FFE5B244"/>
      <color rgb="FF000000"/>
      <color rgb="FF1F1F1F"/>
      <color rgb="FF948A54"/>
      <color rgb="FF77933C"/>
    </mruColors>
  </colors>
  <extLst>
    <ext xmlns:x14="http://schemas.microsoft.com/office/spreadsheetml/2009/9/main" uri="{46F421CA-312F-682f-3DD2-61675219B42D}">
      <x14:dxfs count="3">
        <dxf>
          <font>
            <b val="0"/>
            <i val="0"/>
            <sz val="10"/>
            <color rgb="FF1F1F1F"/>
            <name val="kulim park semiBold"/>
            <charset val="178"/>
          </font>
          <fill>
            <patternFill>
              <fgColor rgb="FFE5B244"/>
              <bgColor rgb="FFE5B244"/>
            </patternFill>
          </fill>
        </dxf>
        <dxf>
          <font>
            <b val="0"/>
            <i val="0"/>
            <sz val="11"/>
            <color rgb="FFE5B244"/>
            <name val="kulim park semiBold"/>
            <charset val="178"/>
          </font>
          <fill>
            <patternFill>
              <bgColor rgb="FF282828"/>
            </patternFill>
          </fill>
        </dxf>
        <dxf>
          <font>
            <b val="0"/>
            <i val="0"/>
            <sz val="10"/>
            <color rgb="FF1F1F1F"/>
            <name val="kulim park semiBold"/>
            <charset val="178"/>
          </font>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349980850873118E-2"/>
          <c:y val="6.2814808220084298E-2"/>
          <c:w val="0.88228758147109532"/>
          <c:h val="0.93718519177991566"/>
        </c:manualLayout>
      </c:layout>
      <c:pieChart>
        <c:varyColors val="1"/>
        <c:ser>
          <c:idx val="0"/>
          <c:order val="0"/>
          <c:spPr>
            <a:solidFill>
              <a:schemeClr val="accent1"/>
            </a:solidFill>
            <a:ln>
              <a:solidFill>
                <a:srgbClr val="282828"/>
              </a:solidFill>
            </a:ln>
          </c:spPr>
          <c:dPt>
            <c:idx val="0"/>
            <c:bubble3D val="0"/>
            <c:spPr>
              <a:solidFill>
                <a:srgbClr val="E5B244"/>
              </a:solidFill>
              <a:ln w="19050">
                <a:solidFill>
                  <a:srgbClr val="282828"/>
                </a:solidFill>
              </a:ln>
              <a:effectLst/>
            </c:spPr>
            <c:extLst>
              <c:ext xmlns:c16="http://schemas.microsoft.com/office/drawing/2014/chart" uri="{C3380CC4-5D6E-409C-BE32-E72D297353CC}">
                <c16:uniqueId val="{00000001-9652-4270-AF0A-6A4A16008E2C}"/>
              </c:ext>
            </c:extLst>
          </c:dPt>
          <c:dPt>
            <c:idx val="1"/>
            <c:bubble3D val="0"/>
            <c:spPr>
              <a:solidFill>
                <a:schemeClr val="tx1">
                  <a:lumMod val="75000"/>
                  <a:lumOff val="25000"/>
                </a:schemeClr>
              </a:solidFill>
              <a:ln w="19050">
                <a:solidFill>
                  <a:srgbClr val="282828"/>
                </a:solidFill>
              </a:ln>
              <a:effectLst/>
            </c:spPr>
            <c:extLst>
              <c:ext xmlns:c16="http://schemas.microsoft.com/office/drawing/2014/chart" uri="{C3380CC4-5D6E-409C-BE32-E72D297353CC}">
                <c16:uniqueId val="{00000003-9652-4270-AF0A-6A4A16008E2C}"/>
              </c:ext>
            </c:extLst>
          </c:dPt>
          <c:dPt>
            <c:idx val="2"/>
            <c:bubble3D val="0"/>
            <c:spPr>
              <a:solidFill>
                <a:schemeClr val="accent2">
                  <a:lumMod val="20000"/>
                  <a:lumOff val="80000"/>
                </a:schemeClr>
              </a:solidFill>
              <a:ln w="19050">
                <a:solidFill>
                  <a:srgbClr val="282828"/>
                </a:solidFill>
              </a:ln>
              <a:effectLst/>
            </c:spPr>
            <c:extLst>
              <c:ext xmlns:c16="http://schemas.microsoft.com/office/drawing/2014/chart" uri="{C3380CC4-5D6E-409C-BE32-E72D297353CC}">
                <c16:uniqueId val="{00000005-9652-4270-AF0A-6A4A16008E2C}"/>
              </c:ext>
            </c:extLst>
          </c:dPt>
          <c:cat>
            <c:strRef>
              <c:f>pivotTables!$A$9:$A$11</c:f>
              <c:strCache>
                <c:ptCount val="3"/>
                <c:pt idx="0">
                  <c:v>Contract</c:v>
                </c:pt>
                <c:pt idx="1">
                  <c:v>Full-Time</c:v>
                </c:pt>
                <c:pt idx="2">
                  <c:v>Part-Time</c:v>
                </c:pt>
              </c:strCache>
            </c:strRef>
          </c:cat>
          <c:val>
            <c:numRef>
              <c:f>pivotTables!$B$9:$B$11</c:f>
              <c:numCache>
                <c:formatCode>General</c:formatCode>
                <c:ptCount val="3"/>
                <c:pt idx="0">
                  <c:v>2</c:v>
                </c:pt>
                <c:pt idx="1">
                  <c:v>3</c:v>
                </c:pt>
                <c:pt idx="2">
                  <c:v>1</c:v>
                </c:pt>
              </c:numCache>
            </c:numRef>
          </c:val>
          <c:extLst>
            <c:ext xmlns:c16="http://schemas.microsoft.com/office/drawing/2014/chart" uri="{C3380CC4-5D6E-409C-BE32-E72D297353CC}">
              <c16:uniqueId val="{00000006-9652-4270-AF0A-6A4A16008E2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excel.xlsx]pivotTables!PivotTable3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pivotTables!$I$2:$I$3</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pivotTables!$H$4:$H$8</c:f>
              <c:strCache>
                <c:ptCount val="4"/>
                <c:pt idx="0">
                  <c:v>18-25</c:v>
                </c:pt>
                <c:pt idx="1">
                  <c:v>26-35</c:v>
                </c:pt>
                <c:pt idx="2">
                  <c:v>36-45</c:v>
                </c:pt>
                <c:pt idx="3">
                  <c:v>56 &lt;</c:v>
                </c:pt>
              </c:strCache>
            </c:strRef>
          </c:cat>
          <c:val>
            <c:numRef>
              <c:f>pivotTables!$I$4:$I$8</c:f>
              <c:numCache>
                <c:formatCode>General</c:formatCode>
                <c:ptCount val="4"/>
                <c:pt idx="0">
                  <c:v>2</c:v>
                </c:pt>
                <c:pt idx="1">
                  <c:v>2</c:v>
                </c:pt>
                <c:pt idx="2">
                  <c:v>2</c:v>
                </c:pt>
              </c:numCache>
            </c:numRef>
          </c:val>
          <c:extLst>
            <c:ext xmlns:c16="http://schemas.microsoft.com/office/drawing/2014/chart" uri="{C3380CC4-5D6E-409C-BE32-E72D297353CC}">
              <c16:uniqueId val="{00000000-7017-4105-B332-871008CCA586}"/>
            </c:ext>
          </c:extLst>
        </c:ser>
        <c:ser>
          <c:idx val="1"/>
          <c:order val="1"/>
          <c:tx>
            <c:strRef>
              <c:f>pivotTables!$J$2:$J$3</c:f>
              <c:strCache>
                <c:ptCount val="1"/>
                <c:pt idx="0">
                  <c:v>Male</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pivotTables!$H$4:$H$8</c:f>
              <c:strCache>
                <c:ptCount val="4"/>
                <c:pt idx="0">
                  <c:v>18-25</c:v>
                </c:pt>
                <c:pt idx="1">
                  <c:v>26-35</c:v>
                </c:pt>
                <c:pt idx="2">
                  <c:v>36-45</c:v>
                </c:pt>
                <c:pt idx="3">
                  <c:v>56 &lt;</c:v>
                </c:pt>
              </c:strCache>
            </c:strRef>
          </c:cat>
          <c:val>
            <c:numRef>
              <c:f>pivotTables!$J$4:$J$8</c:f>
              <c:numCache>
                <c:formatCode>General</c:formatCode>
                <c:ptCount val="4"/>
                <c:pt idx="0">
                  <c:v>2</c:v>
                </c:pt>
                <c:pt idx="1">
                  <c:v>1</c:v>
                </c:pt>
                <c:pt idx="2">
                  <c:v>1</c:v>
                </c:pt>
                <c:pt idx="3">
                  <c:v>1</c:v>
                </c:pt>
              </c:numCache>
            </c:numRef>
          </c:val>
          <c:extLst>
            <c:ext xmlns:c16="http://schemas.microsoft.com/office/drawing/2014/chart" uri="{C3380CC4-5D6E-409C-BE32-E72D297353CC}">
              <c16:uniqueId val="{00000001-7017-4105-B332-871008CCA586}"/>
            </c:ext>
          </c:extLst>
        </c:ser>
        <c:dLbls>
          <c:dLblPos val="outEnd"/>
          <c:showLegendKey val="0"/>
          <c:showVal val="1"/>
          <c:showCatName val="0"/>
          <c:showSerName val="0"/>
          <c:showPercent val="0"/>
          <c:showBubbleSize val="0"/>
        </c:dLbls>
        <c:gapWidth val="219"/>
        <c:overlap val="-27"/>
        <c:axId val="633106879"/>
        <c:axId val="633116959"/>
      </c:barChart>
      <c:catAx>
        <c:axId val="63310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3116959"/>
        <c:crosses val="autoZero"/>
        <c:auto val="1"/>
        <c:lblAlgn val="ctr"/>
        <c:lblOffset val="100"/>
        <c:noMultiLvlLbl val="0"/>
      </c:catAx>
      <c:valAx>
        <c:axId val="633116959"/>
        <c:scaling>
          <c:orientation val="minMax"/>
        </c:scaling>
        <c:delete val="1"/>
        <c:axPos val="l"/>
        <c:majorGridlines>
          <c:spPr>
            <a:ln w="9525" cap="flat" cmpd="sng" algn="ctr">
              <a:solidFill>
                <a:srgbClr val="E5B244">
                  <a:alpha val="34000"/>
                </a:srgbClr>
              </a:solidFill>
              <a:prstDash val="dashDot"/>
              <a:round/>
            </a:ln>
            <a:effectLst/>
          </c:spPr>
        </c:majorGridlines>
        <c:numFmt formatCode="General" sourceLinked="1"/>
        <c:majorTickMark val="none"/>
        <c:minorTickMark val="none"/>
        <c:tickLblPos val="nextTo"/>
        <c:crossAx val="63310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58594468809272E-2"/>
          <c:y val="0.14805784429123928"/>
          <c:w val="0.90198659274810877"/>
          <c:h val="0.54346405228758166"/>
        </c:manualLayout>
      </c:layout>
      <c:barChart>
        <c:barDir val="bar"/>
        <c:grouping val="percentStacked"/>
        <c:varyColors val="0"/>
        <c:ser>
          <c:idx val="0"/>
          <c:order val="0"/>
          <c:spPr>
            <a:solidFill>
              <a:srgbClr val="E5B244"/>
            </a:solidFill>
            <a:ln>
              <a:noFill/>
            </a:ln>
            <a:effectLst/>
          </c:spPr>
          <c:invertIfNegative val="0"/>
          <c:val>
            <c:numRef>
              <c:f>pivotTables!$P$8</c:f>
              <c:numCache>
                <c:formatCode>0%</c:formatCode>
                <c:ptCount val="1"/>
                <c:pt idx="0">
                  <c:v>0.33333333333333331</c:v>
                </c:pt>
              </c:numCache>
            </c:numRef>
          </c:val>
          <c:extLst>
            <c:ext xmlns:c16="http://schemas.microsoft.com/office/drawing/2014/chart" uri="{C3380CC4-5D6E-409C-BE32-E72D297353CC}">
              <c16:uniqueId val="{00000000-C8D8-4123-A40F-3A7FD3493246}"/>
            </c:ext>
          </c:extLst>
        </c:ser>
        <c:ser>
          <c:idx val="1"/>
          <c:order val="1"/>
          <c:spPr>
            <a:solidFill>
              <a:srgbClr val="1F1F1F"/>
            </a:solidFill>
            <a:ln>
              <a:noFill/>
            </a:ln>
            <a:effectLst/>
          </c:spPr>
          <c:invertIfNegative val="0"/>
          <c:val>
            <c:numRef>
              <c:f>pivotTables!$Q$8</c:f>
              <c:numCache>
                <c:formatCode>0%</c:formatCode>
                <c:ptCount val="1"/>
                <c:pt idx="0">
                  <c:v>0.66666666666666674</c:v>
                </c:pt>
              </c:numCache>
            </c:numRef>
          </c:val>
          <c:extLst>
            <c:ext xmlns:c16="http://schemas.microsoft.com/office/drawing/2014/chart" uri="{C3380CC4-5D6E-409C-BE32-E72D297353CC}">
              <c16:uniqueId val="{00000001-C8D8-4123-A40F-3A7FD3493246}"/>
            </c:ext>
          </c:extLst>
        </c:ser>
        <c:dLbls>
          <c:showLegendKey val="0"/>
          <c:showVal val="0"/>
          <c:showCatName val="0"/>
          <c:showSerName val="0"/>
          <c:showPercent val="0"/>
          <c:showBubbleSize val="0"/>
        </c:dLbls>
        <c:gapWidth val="150"/>
        <c:overlap val="100"/>
        <c:axId val="1037888447"/>
        <c:axId val="1037888927"/>
      </c:barChart>
      <c:catAx>
        <c:axId val="1037888447"/>
        <c:scaling>
          <c:orientation val="minMax"/>
        </c:scaling>
        <c:delete val="1"/>
        <c:axPos val="l"/>
        <c:majorTickMark val="none"/>
        <c:minorTickMark val="none"/>
        <c:tickLblPos val="nextTo"/>
        <c:crossAx val="1037888927"/>
        <c:crosses val="autoZero"/>
        <c:auto val="1"/>
        <c:lblAlgn val="ctr"/>
        <c:lblOffset val="100"/>
        <c:noMultiLvlLbl val="0"/>
      </c:catAx>
      <c:valAx>
        <c:axId val="1037888927"/>
        <c:scaling>
          <c:orientation val="minMax"/>
        </c:scaling>
        <c:delete val="1"/>
        <c:axPos val="b"/>
        <c:numFmt formatCode="0%" sourceLinked="1"/>
        <c:majorTickMark val="none"/>
        <c:minorTickMark val="none"/>
        <c:tickLblPos val="nextTo"/>
        <c:crossAx val="103788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pivotTables!$P$9</c:f>
              <c:numCache>
                <c:formatCode>0%</c:formatCode>
                <c:ptCount val="1"/>
                <c:pt idx="0">
                  <c:v>0.16666666666666666</c:v>
                </c:pt>
              </c:numCache>
            </c:numRef>
          </c:val>
          <c:extLst>
            <c:ext xmlns:c16="http://schemas.microsoft.com/office/drawing/2014/chart" uri="{C3380CC4-5D6E-409C-BE32-E72D297353CC}">
              <c16:uniqueId val="{00000000-1C91-4223-BF97-486F5C70367A}"/>
            </c:ext>
          </c:extLst>
        </c:ser>
        <c:ser>
          <c:idx val="1"/>
          <c:order val="1"/>
          <c:spPr>
            <a:solidFill>
              <a:srgbClr val="1F1F1F"/>
            </a:solidFill>
            <a:ln>
              <a:noFill/>
            </a:ln>
            <a:effectLst/>
          </c:spPr>
          <c:invertIfNegative val="0"/>
          <c:val>
            <c:numRef>
              <c:f>pivotTables!$Q$9</c:f>
              <c:numCache>
                <c:formatCode>0%</c:formatCode>
                <c:ptCount val="1"/>
                <c:pt idx="0">
                  <c:v>0.83333333333333337</c:v>
                </c:pt>
              </c:numCache>
            </c:numRef>
          </c:val>
          <c:extLst>
            <c:ext xmlns:c16="http://schemas.microsoft.com/office/drawing/2014/chart" uri="{C3380CC4-5D6E-409C-BE32-E72D297353CC}">
              <c16:uniqueId val="{00000001-1C91-4223-BF97-486F5C70367A}"/>
            </c:ext>
          </c:extLst>
        </c:ser>
        <c:dLbls>
          <c:showLegendKey val="0"/>
          <c:showVal val="0"/>
          <c:showCatName val="0"/>
          <c:showSerName val="0"/>
          <c:showPercent val="0"/>
          <c:showBubbleSize val="0"/>
        </c:dLbls>
        <c:gapWidth val="150"/>
        <c:overlap val="100"/>
        <c:axId val="1037909567"/>
        <c:axId val="1037910527"/>
      </c:barChart>
      <c:catAx>
        <c:axId val="1037909567"/>
        <c:scaling>
          <c:orientation val="minMax"/>
        </c:scaling>
        <c:delete val="1"/>
        <c:axPos val="l"/>
        <c:majorTickMark val="none"/>
        <c:minorTickMark val="none"/>
        <c:tickLblPos val="nextTo"/>
        <c:crossAx val="1037910527"/>
        <c:crosses val="autoZero"/>
        <c:auto val="1"/>
        <c:lblAlgn val="ctr"/>
        <c:lblOffset val="100"/>
        <c:noMultiLvlLbl val="0"/>
      </c:catAx>
      <c:valAx>
        <c:axId val="1037910527"/>
        <c:scaling>
          <c:orientation val="minMax"/>
        </c:scaling>
        <c:delete val="1"/>
        <c:axPos val="b"/>
        <c:numFmt formatCode="0%" sourceLinked="1"/>
        <c:majorTickMark val="none"/>
        <c:minorTickMark val="none"/>
        <c:tickLblPos val="nextTo"/>
        <c:crossAx val="103790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44237328489531E-2"/>
          <c:y val="9.2825264844367844E-2"/>
          <c:w val="0.8131408653035892"/>
          <c:h val="0.5915688346847815"/>
        </c:manualLayout>
      </c:layout>
      <c:barChart>
        <c:barDir val="bar"/>
        <c:grouping val="percentStacked"/>
        <c:varyColors val="0"/>
        <c:ser>
          <c:idx val="0"/>
          <c:order val="0"/>
          <c:spPr>
            <a:solidFill>
              <a:srgbClr val="E5B244"/>
            </a:solidFill>
            <a:ln>
              <a:noFill/>
            </a:ln>
            <a:effectLst/>
          </c:spPr>
          <c:invertIfNegative val="0"/>
          <c:val>
            <c:numRef>
              <c:f>pivotTables!$P$10</c:f>
              <c:numCache>
                <c:formatCode>0%</c:formatCode>
                <c:ptCount val="1"/>
                <c:pt idx="0">
                  <c:v>0.5</c:v>
                </c:pt>
              </c:numCache>
            </c:numRef>
          </c:val>
          <c:extLst>
            <c:ext xmlns:c16="http://schemas.microsoft.com/office/drawing/2014/chart" uri="{C3380CC4-5D6E-409C-BE32-E72D297353CC}">
              <c16:uniqueId val="{00000000-DB70-425F-B9B7-5A30765FDAC6}"/>
            </c:ext>
          </c:extLst>
        </c:ser>
        <c:ser>
          <c:idx val="1"/>
          <c:order val="1"/>
          <c:spPr>
            <a:solidFill>
              <a:srgbClr val="1F1F1F"/>
            </a:solidFill>
            <a:ln>
              <a:noFill/>
            </a:ln>
            <a:effectLst/>
          </c:spPr>
          <c:invertIfNegative val="0"/>
          <c:val>
            <c:numRef>
              <c:f>pivotTables!$Q$10</c:f>
              <c:numCache>
                <c:formatCode>0%</c:formatCode>
                <c:ptCount val="1"/>
                <c:pt idx="0">
                  <c:v>0.5</c:v>
                </c:pt>
              </c:numCache>
            </c:numRef>
          </c:val>
          <c:extLst>
            <c:ext xmlns:c16="http://schemas.microsoft.com/office/drawing/2014/chart" uri="{C3380CC4-5D6E-409C-BE32-E72D297353CC}">
              <c16:uniqueId val="{00000001-DB70-425F-B9B7-5A30765FDAC6}"/>
            </c:ext>
          </c:extLst>
        </c:ser>
        <c:dLbls>
          <c:showLegendKey val="0"/>
          <c:showVal val="0"/>
          <c:showCatName val="0"/>
          <c:showSerName val="0"/>
          <c:showPercent val="0"/>
          <c:showBubbleSize val="0"/>
        </c:dLbls>
        <c:gapWidth val="150"/>
        <c:overlap val="100"/>
        <c:axId val="1037907647"/>
        <c:axId val="1037891327"/>
      </c:barChart>
      <c:catAx>
        <c:axId val="1037907647"/>
        <c:scaling>
          <c:orientation val="minMax"/>
        </c:scaling>
        <c:delete val="1"/>
        <c:axPos val="l"/>
        <c:majorTickMark val="none"/>
        <c:minorTickMark val="none"/>
        <c:tickLblPos val="nextTo"/>
        <c:crossAx val="1037891327"/>
        <c:crosses val="autoZero"/>
        <c:auto val="1"/>
        <c:lblAlgn val="ctr"/>
        <c:lblOffset val="100"/>
        <c:noMultiLvlLbl val="0"/>
      </c:catAx>
      <c:valAx>
        <c:axId val="1037891327"/>
        <c:scaling>
          <c:orientation val="minMax"/>
        </c:scaling>
        <c:delete val="1"/>
        <c:axPos val="b"/>
        <c:numFmt formatCode="0%" sourceLinked="1"/>
        <c:majorTickMark val="none"/>
        <c:minorTickMark val="none"/>
        <c:tickLblPos val="nextTo"/>
        <c:crossAx val="103790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82506505172326405"/>
          <c:h val="1"/>
        </c:manualLayout>
      </c:layout>
      <c:doughnutChart>
        <c:varyColors val="1"/>
        <c:ser>
          <c:idx val="0"/>
          <c:order val="0"/>
          <c:spPr>
            <a:ln>
              <a:noFill/>
            </a:ln>
          </c:spPr>
          <c:dPt>
            <c:idx val="0"/>
            <c:bubble3D val="0"/>
            <c:spPr>
              <a:solidFill>
                <a:srgbClr val="E5B244"/>
              </a:solidFill>
              <a:ln w="19050">
                <a:noFill/>
              </a:ln>
              <a:effectLst/>
            </c:spPr>
            <c:extLst>
              <c:ext xmlns:c16="http://schemas.microsoft.com/office/drawing/2014/chart" uri="{C3380CC4-5D6E-409C-BE32-E72D297353CC}">
                <c16:uniqueId val="{00000001-69B8-419C-B52B-1498E4EE1890}"/>
              </c:ext>
            </c:extLst>
          </c:dPt>
          <c:dPt>
            <c:idx val="1"/>
            <c:bubble3D val="0"/>
            <c:spPr>
              <a:solidFill>
                <a:srgbClr val="1F1F1F"/>
              </a:solidFill>
              <a:ln w="19050">
                <a:noFill/>
              </a:ln>
              <a:effectLst/>
            </c:spPr>
            <c:extLst>
              <c:ext xmlns:c16="http://schemas.microsoft.com/office/drawing/2014/chart" uri="{C3380CC4-5D6E-409C-BE32-E72D297353CC}">
                <c16:uniqueId val="{00000003-69B8-419C-B52B-1498E4EE1890}"/>
              </c:ext>
            </c:extLst>
          </c:dPt>
          <c:val>
            <c:numRef>
              <c:f>pivotTables!$J$19:$K$19</c:f>
              <c:numCache>
                <c:formatCode>0%</c:formatCode>
                <c:ptCount val="2"/>
                <c:pt idx="0">
                  <c:v>0.45454545454545453</c:v>
                </c:pt>
                <c:pt idx="1">
                  <c:v>0.54545454545454541</c:v>
                </c:pt>
              </c:numCache>
            </c:numRef>
          </c:val>
          <c:extLst>
            <c:ext xmlns:c16="http://schemas.microsoft.com/office/drawing/2014/chart" uri="{C3380CC4-5D6E-409C-BE32-E72D297353CC}">
              <c16:uniqueId val="{00000004-69B8-419C-B52B-1498E4EE189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328166571172053E-2"/>
          <c:y val="0"/>
          <c:w val="0.84219163583762735"/>
          <c:h val="1"/>
        </c:manualLayout>
      </c:layout>
      <c:doughnutChart>
        <c:varyColors val="1"/>
        <c:ser>
          <c:idx val="0"/>
          <c:order val="0"/>
          <c:spPr>
            <a:solidFill>
              <a:srgbClr val="282828"/>
            </a:solidFill>
          </c:spPr>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5D00-487E-B7C4-83D80E8B2689}"/>
              </c:ext>
            </c:extLst>
          </c:dPt>
          <c:dPt>
            <c:idx val="1"/>
            <c:bubble3D val="0"/>
            <c:spPr>
              <a:solidFill>
                <a:schemeClr val="tx1">
                  <a:lumMod val="95000"/>
                  <a:lumOff val="5000"/>
                </a:schemeClr>
              </a:solidFill>
              <a:ln w="19050">
                <a:noFill/>
              </a:ln>
              <a:effectLst/>
            </c:spPr>
            <c:extLst>
              <c:ext xmlns:c16="http://schemas.microsoft.com/office/drawing/2014/chart" uri="{C3380CC4-5D6E-409C-BE32-E72D297353CC}">
                <c16:uniqueId val="{00000003-5D00-487E-B7C4-83D80E8B2689}"/>
              </c:ext>
            </c:extLst>
          </c:dPt>
          <c:val>
            <c:numRef>
              <c:f>pivotTables!$J$18:$K$18</c:f>
              <c:numCache>
                <c:formatCode>0%</c:formatCode>
                <c:ptCount val="2"/>
                <c:pt idx="0">
                  <c:v>0.54545454545454541</c:v>
                </c:pt>
                <c:pt idx="1">
                  <c:v>0.45454545454545459</c:v>
                </c:pt>
              </c:numCache>
            </c:numRef>
          </c:val>
          <c:extLst>
            <c:ext xmlns:c16="http://schemas.microsoft.com/office/drawing/2014/chart" uri="{C3380CC4-5D6E-409C-BE32-E72D297353CC}">
              <c16:uniqueId val="{00000004-5D00-487E-B7C4-83D80E8B26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pivotTables!$D$11</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pivotTables!$F$11</c:f>
              <c:numCache>
                <c:formatCode>_-* #,##0_-;\-* #,##0_-;_-* "-"??_-;_-@_-</c:formatCode>
                <c:ptCount val="1"/>
                <c:pt idx="0">
                  <c:v>0</c:v>
                </c:pt>
              </c:numCache>
            </c:numRef>
          </c:val>
          <c:extLst>
            <c:ext xmlns:c16="http://schemas.microsoft.com/office/drawing/2014/chart" uri="{C3380CC4-5D6E-409C-BE32-E72D297353CC}">
              <c16:uniqueId val="{00000000-EBF6-439D-A5AE-4E5202B4729D}"/>
            </c:ext>
          </c:extLst>
        </c:ser>
        <c:ser>
          <c:idx val="1"/>
          <c:order val="1"/>
          <c:tx>
            <c:strRef>
              <c:f>pivotTables!$D$12</c:f>
              <c:strCache>
                <c:ptCount val="1"/>
                <c:pt idx="0">
                  <c:v>Designer</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pivotTables!$F$12</c:f>
              <c:numCache>
                <c:formatCode>_-* #,##0_-;\-* #,##0_-;_-* "-"??_-;_-@_-</c:formatCode>
                <c:ptCount val="1"/>
                <c:pt idx="0">
                  <c:v>0</c:v>
                </c:pt>
              </c:numCache>
            </c:numRef>
          </c:val>
          <c:extLst>
            <c:ext xmlns:c16="http://schemas.microsoft.com/office/drawing/2014/chart" uri="{C3380CC4-5D6E-409C-BE32-E72D297353CC}">
              <c16:uniqueId val="{00000001-EBF6-439D-A5AE-4E5202B4729D}"/>
            </c:ext>
          </c:extLst>
        </c:ser>
        <c:ser>
          <c:idx val="2"/>
          <c:order val="2"/>
          <c:tx>
            <c:strRef>
              <c:f>pivotTables!$D$13</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pivotTables!$F$13</c:f>
              <c:numCache>
                <c:formatCode>_-* #,##0_-;\-* #,##0_-;_-* "-"??_-;_-@_-</c:formatCode>
                <c:ptCount val="1"/>
                <c:pt idx="0">
                  <c:v>7</c:v>
                </c:pt>
              </c:numCache>
            </c:numRef>
          </c:val>
          <c:extLst>
            <c:ext xmlns:c16="http://schemas.microsoft.com/office/drawing/2014/chart" uri="{C3380CC4-5D6E-409C-BE32-E72D297353CC}">
              <c16:uniqueId val="{00000002-EBF6-439D-A5AE-4E5202B4729D}"/>
            </c:ext>
          </c:extLst>
        </c:ser>
        <c:ser>
          <c:idx val="3"/>
          <c:order val="3"/>
          <c:tx>
            <c:strRef>
              <c:f>pivotTables!$D$14</c:f>
              <c:strCache>
                <c:ptCount val="1"/>
                <c:pt idx="0">
                  <c:v>HR Specialist</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pivotTables!$F$14</c:f>
              <c:numCache>
                <c:formatCode>_-* #,##0_-;\-* #,##0_-;_-* "-"??_-;_-@_-</c:formatCode>
                <c:ptCount val="1"/>
                <c:pt idx="0">
                  <c:v>37</c:v>
                </c:pt>
              </c:numCache>
            </c:numRef>
          </c:val>
          <c:extLst>
            <c:ext xmlns:c16="http://schemas.microsoft.com/office/drawing/2014/chart" uri="{C3380CC4-5D6E-409C-BE32-E72D297353CC}">
              <c16:uniqueId val="{00000003-EBF6-439D-A5AE-4E5202B4729D}"/>
            </c:ext>
          </c:extLst>
        </c:ser>
        <c:ser>
          <c:idx val="4"/>
          <c:order val="4"/>
          <c:tx>
            <c:strRef>
              <c:f>pivotTables!$D$15</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pivotTables!$F$15</c:f>
              <c:numCache>
                <c:formatCode>_-* #,##0_-;\-* #,##0_-;_-* "-"??_-;_-@_-</c:formatCode>
                <c:ptCount val="1"/>
                <c:pt idx="0">
                  <c:v>20</c:v>
                </c:pt>
              </c:numCache>
            </c:numRef>
          </c:val>
          <c:extLst>
            <c:ext xmlns:c16="http://schemas.microsoft.com/office/drawing/2014/chart" uri="{C3380CC4-5D6E-409C-BE32-E72D297353CC}">
              <c16:uniqueId val="{00000004-EBF6-439D-A5AE-4E5202B4729D}"/>
            </c:ext>
          </c:extLst>
        </c:ser>
        <c:dLbls>
          <c:dLblPos val="outEnd"/>
          <c:showLegendKey val="0"/>
          <c:showVal val="1"/>
          <c:showCatName val="0"/>
          <c:showSerName val="0"/>
          <c:showPercent val="0"/>
          <c:showBubbleSize val="0"/>
        </c:dLbls>
        <c:gapWidth val="219"/>
        <c:overlap val="-27"/>
        <c:axId val="923299823"/>
        <c:axId val="923292623"/>
      </c:barChart>
      <c:catAx>
        <c:axId val="923299823"/>
        <c:scaling>
          <c:orientation val="minMax"/>
        </c:scaling>
        <c:delete val="1"/>
        <c:axPos val="b"/>
        <c:numFmt formatCode="General" sourceLinked="1"/>
        <c:majorTickMark val="out"/>
        <c:minorTickMark val="none"/>
        <c:tickLblPos val="nextTo"/>
        <c:crossAx val="923292623"/>
        <c:crosses val="autoZero"/>
        <c:auto val="1"/>
        <c:lblAlgn val="ctr"/>
        <c:lblOffset val="100"/>
        <c:noMultiLvlLbl val="0"/>
      </c:catAx>
      <c:valAx>
        <c:axId val="923292623"/>
        <c:scaling>
          <c:orientation val="minMax"/>
        </c:scaling>
        <c:delete val="1"/>
        <c:axPos val="l"/>
        <c:majorGridlines>
          <c:spPr>
            <a:ln w="9525" cap="rnd" cmpd="sng" algn="ctr">
              <a:solidFill>
                <a:srgbClr val="E5B244">
                  <a:alpha val="35000"/>
                </a:srgbClr>
              </a:solidFill>
              <a:prstDash val="dashDot"/>
              <a:round/>
            </a:ln>
            <a:effectLst/>
          </c:spPr>
        </c:majorGridlines>
        <c:numFmt formatCode="_-* #,##0_-;\-* #,##0_-;_-* &quot;-&quot;??_-;_-@_-" sourceLinked="1"/>
        <c:majorTickMark val="out"/>
        <c:minorTickMark val="none"/>
        <c:tickLblPos val="nextTo"/>
        <c:crossAx val="9232998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excel.xlsx]pivotTables!PivotTable6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alpha val="3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Kulim Park"/>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pivotTables!$X$2</c:f>
              <c:strCache>
                <c:ptCount val="1"/>
                <c:pt idx="0">
                  <c:v>Total</c:v>
                </c:pt>
              </c:strCache>
            </c:strRef>
          </c:tx>
          <c:spPr>
            <a:solidFill>
              <a:schemeClr val="bg2">
                <a:lumMod val="50000"/>
                <a:alpha val="3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pivotTables!$W$3:$W$7</c:f>
              <c:strCache>
                <c:ptCount val="4"/>
                <c:pt idx="0">
                  <c:v>Central</c:v>
                </c:pt>
                <c:pt idx="1">
                  <c:v>East</c:v>
                </c:pt>
                <c:pt idx="2">
                  <c:v>South</c:v>
                </c:pt>
                <c:pt idx="3">
                  <c:v>West</c:v>
                </c:pt>
              </c:strCache>
            </c:strRef>
          </c:cat>
          <c:val>
            <c:numRef>
              <c:f>pivotTables!$X$3:$X$7</c:f>
              <c:numCache>
                <c:formatCode>General</c:formatCode>
                <c:ptCount val="4"/>
                <c:pt idx="0">
                  <c:v>3</c:v>
                </c:pt>
                <c:pt idx="1">
                  <c:v>1</c:v>
                </c:pt>
                <c:pt idx="2">
                  <c:v>1</c:v>
                </c:pt>
                <c:pt idx="3">
                  <c:v>1</c:v>
                </c:pt>
              </c:numCache>
            </c:numRef>
          </c:val>
          <c:extLst>
            <c:ext xmlns:c16="http://schemas.microsoft.com/office/drawing/2014/chart" uri="{C3380CC4-5D6E-409C-BE32-E72D297353CC}">
              <c16:uniqueId val="{00000000-30C7-42E6-9770-87113D732427}"/>
            </c:ext>
          </c:extLst>
        </c:ser>
        <c:dLbls>
          <c:showLegendKey val="0"/>
          <c:showVal val="0"/>
          <c:showCatName val="0"/>
          <c:showSerName val="0"/>
          <c:showPercent val="0"/>
          <c:showBubbleSize val="0"/>
        </c:dLbls>
        <c:gapWidth val="65"/>
        <c:overlap val="12"/>
        <c:axId val="1253254752"/>
        <c:axId val="1253255712"/>
      </c:barChart>
      <c:catAx>
        <c:axId val="125325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55712"/>
        <c:crosses val="autoZero"/>
        <c:auto val="1"/>
        <c:lblAlgn val="ctr"/>
        <c:lblOffset val="100"/>
        <c:noMultiLvlLbl val="0"/>
      </c:catAx>
      <c:valAx>
        <c:axId val="1253255712"/>
        <c:scaling>
          <c:orientation val="minMax"/>
        </c:scaling>
        <c:delete val="1"/>
        <c:axPos val="b"/>
        <c:numFmt formatCode="General" sourceLinked="1"/>
        <c:majorTickMark val="none"/>
        <c:minorTickMark val="none"/>
        <c:tickLblPos val="nextTo"/>
        <c:crossAx val="125325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9.png"/><Relationship Id="rId26" Type="http://schemas.openxmlformats.org/officeDocument/2006/relationships/image" Target="../media/image16.png"/><Relationship Id="rId3" Type="http://schemas.openxmlformats.org/officeDocument/2006/relationships/chart" Target="../charts/chart3.xml"/><Relationship Id="rId21" Type="http://schemas.openxmlformats.org/officeDocument/2006/relationships/image" Target="../media/image12.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chart" Target="../charts/chart9.xml"/><Relationship Id="rId25" Type="http://schemas.openxmlformats.org/officeDocument/2006/relationships/image" Target="../media/image15.svg"/><Relationship Id="rId2" Type="http://schemas.openxmlformats.org/officeDocument/2006/relationships/chart" Target="../charts/chart2.xml"/><Relationship Id="rId16" Type="http://schemas.openxmlformats.org/officeDocument/2006/relationships/chart" Target="../charts/chart8.xml"/><Relationship Id="rId20"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24" Type="http://schemas.openxmlformats.org/officeDocument/2006/relationships/image" Target="../media/image14.png"/><Relationship Id="rId5" Type="http://schemas.openxmlformats.org/officeDocument/2006/relationships/chart" Target="../charts/chart5.xml"/><Relationship Id="rId15" Type="http://schemas.openxmlformats.org/officeDocument/2006/relationships/chart" Target="../charts/chart7.xml"/><Relationship Id="rId23" Type="http://schemas.openxmlformats.org/officeDocument/2006/relationships/chart" Target="../charts/chart10.xml"/><Relationship Id="rId10" Type="http://schemas.openxmlformats.org/officeDocument/2006/relationships/image" Target="../media/image4.svg"/><Relationship Id="rId19" Type="http://schemas.openxmlformats.org/officeDocument/2006/relationships/image" Target="../media/image10.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3.png"/><Relationship Id="rId27"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76800</xdr:colOff>
      <xdr:row>34</xdr:row>
      <xdr:rowOff>82080</xdr:rowOff>
    </xdr:to>
    <xdr:sp macro="" textlink="">
      <xdr:nvSpPr>
        <xdr:cNvPr id="2" name="Rectangle 1">
          <a:extLst>
            <a:ext uri="{FF2B5EF4-FFF2-40B4-BE49-F238E27FC236}">
              <a16:creationId xmlns:a16="http://schemas.microsoft.com/office/drawing/2014/main" id="{DB024174-9F5C-C32F-28D9-43D2D732AF3B}"/>
            </a:ext>
          </a:extLst>
        </xdr:cNvPr>
        <xdr:cNvSpPr/>
      </xdr:nvSpPr>
      <xdr:spPr>
        <a:xfrm>
          <a:off x="0" y="0"/>
          <a:ext cx="10499559" cy="6335735"/>
        </a:xfrm>
        <a:prstGeom prst="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301039</xdr:colOff>
      <xdr:row>20</xdr:row>
      <xdr:rowOff>18756</xdr:rowOff>
    </xdr:from>
    <xdr:to>
      <xdr:col>12</xdr:col>
      <xdr:colOff>295770</xdr:colOff>
      <xdr:row>32</xdr:row>
      <xdr:rowOff>130228</xdr:rowOff>
    </xdr:to>
    <xdr:sp macro="" textlink="">
      <xdr:nvSpPr>
        <xdr:cNvPr id="11" name="Rectangle: Rounded Corners 10">
          <a:extLst>
            <a:ext uri="{FF2B5EF4-FFF2-40B4-BE49-F238E27FC236}">
              <a16:creationId xmlns:a16="http://schemas.microsoft.com/office/drawing/2014/main" id="{5103B1D1-FCB4-4982-8A6F-45900DA7388E}"/>
            </a:ext>
          </a:extLst>
        </xdr:cNvPr>
        <xdr:cNvSpPr/>
      </xdr:nvSpPr>
      <xdr:spPr>
        <a:xfrm>
          <a:off x="5189341" y="3613096"/>
          <a:ext cx="2438882" cy="2268075"/>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60514</xdr:colOff>
      <xdr:row>23</xdr:row>
      <xdr:rowOff>30483</xdr:rowOff>
    </xdr:from>
    <xdr:to>
      <xdr:col>3</xdr:col>
      <xdr:colOff>128563</xdr:colOff>
      <xdr:row>32</xdr:row>
      <xdr:rowOff>159516</xdr:rowOff>
    </xdr:to>
    <xdr:sp macro="" textlink="">
      <xdr:nvSpPr>
        <xdr:cNvPr id="4" name="Rectangle: Rounded Corners 3">
          <a:extLst>
            <a:ext uri="{FF2B5EF4-FFF2-40B4-BE49-F238E27FC236}">
              <a16:creationId xmlns:a16="http://schemas.microsoft.com/office/drawing/2014/main" id="{99C13D42-45AF-4C03-A8E2-D690087BBB18}"/>
            </a:ext>
          </a:extLst>
        </xdr:cNvPr>
        <xdr:cNvSpPr/>
      </xdr:nvSpPr>
      <xdr:spPr>
        <a:xfrm>
          <a:off x="60514" y="4163974"/>
          <a:ext cx="1901162" cy="1746485"/>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6</xdr:row>
      <xdr:rowOff>22331</xdr:rowOff>
    </xdr:from>
    <xdr:to>
      <xdr:col>3</xdr:col>
      <xdr:colOff>68049</xdr:colOff>
      <xdr:row>22</xdr:row>
      <xdr:rowOff>36672</xdr:rowOff>
    </xdr:to>
    <xdr:sp macro="" textlink="">
      <xdr:nvSpPr>
        <xdr:cNvPr id="5" name="Rectangle: Rounded Corners 4">
          <a:extLst>
            <a:ext uri="{FF2B5EF4-FFF2-40B4-BE49-F238E27FC236}">
              <a16:creationId xmlns:a16="http://schemas.microsoft.com/office/drawing/2014/main" id="{CCBA9D07-3287-4A87-A77E-79B8F8E3A2DA}"/>
            </a:ext>
          </a:extLst>
        </xdr:cNvPr>
        <xdr:cNvSpPr/>
      </xdr:nvSpPr>
      <xdr:spPr>
        <a:xfrm>
          <a:off x="0" y="1100633"/>
          <a:ext cx="1901162" cy="2889813"/>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600880</xdr:colOff>
      <xdr:row>20</xdr:row>
      <xdr:rowOff>38202</xdr:rowOff>
    </xdr:from>
    <xdr:to>
      <xdr:col>7</xdr:col>
      <xdr:colOff>595611</xdr:colOff>
      <xdr:row>32</xdr:row>
      <xdr:rowOff>149674</xdr:rowOff>
    </xdr:to>
    <xdr:sp macro="" textlink="">
      <xdr:nvSpPr>
        <xdr:cNvPr id="7" name="Rectangle: Rounded Corners 6">
          <a:extLst>
            <a:ext uri="{FF2B5EF4-FFF2-40B4-BE49-F238E27FC236}">
              <a16:creationId xmlns:a16="http://schemas.microsoft.com/office/drawing/2014/main" id="{400156F8-D725-4615-94C5-758DBD8D3FA2}"/>
            </a:ext>
          </a:extLst>
        </xdr:cNvPr>
        <xdr:cNvSpPr/>
      </xdr:nvSpPr>
      <xdr:spPr>
        <a:xfrm>
          <a:off x="2433993" y="3632542"/>
          <a:ext cx="2438882" cy="2268075"/>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328245</xdr:colOff>
      <xdr:row>6</xdr:row>
      <xdr:rowOff>22331</xdr:rowOff>
    </xdr:from>
    <xdr:to>
      <xdr:col>12</xdr:col>
      <xdr:colOff>322976</xdr:colOff>
      <xdr:row>18</xdr:row>
      <xdr:rowOff>133802</xdr:rowOff>
    </xdr:to>
    <xdr:sp macro="" textlink="">
      <xdr:nvSpPr>
        <xdr:cNvPr id="12" name="Rectangle: Rounded Corners 11">
          <a:extLst>
            <a:ext uri="{FF2B5EF4-FFF2-40B4-BE49-F238E27FC236}">
              <a16:creationId xmlns:a16="http://schemas.microsoft.com/office/drawing/2014/main" id="{3FAE2A27-F736-4D91-B20B-FA516569B1A3}"/>
            </a:ext>
          </a:extLst>
        </xdr:cNvPr>
        <xdr:cNvSpPr/>
      </xdr:nvSpPr>
      <xdr:spPr>
        <a:xfrm>
          <a:off x="5216547" y="1100633"/>
          <a:ext cx="2438882" cy="2268075"/>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600880</xdr:colOff>
      <xdr:row>6</xdr:row>
      <xdr:rowOff>135988</xdr:rowOff>
    </xdr:from>
    <xdr:to>
      <xdr:col>7</xdr:col>
      <xdr:colOff>595611</xdr:colOff>
      <xdr:row>12</xdr:row>
      <xdr:rowOff>140677</xdr:rowOff>
    </xdr:to>
    <xdr:sp macro="" textlink="">
      <xdr:nvSpPr>
        <xdr:cNvPr id="13" name="Rectangle: Rounded Corners 12">
          <a:extLst>
            <a:ext uri="{FF2B5EF4-FFF2-40B4-BE49-F238E27FC236}">
              <a16:creationId xmlns:a16="http://schemas.microsoft.com/office/drawing/2014/main" id="{C1A54D88-1013-419E-9F24-2C47D1A8292F}"/>
            </a:ext>
          </a:extLst>
        </xdr:cNvPr>
        <xdr:cNvSpPr/>
      </xdr:nvSpPr>
      <xdr:spPr>
        <a:xfrm>
          <a:off x="2429680" y="1261403"/>
          <a:ext cx="2433131" cy="1130105"/>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572551</xdr:colOff>
      <xdr:row>13</xdr:row>
      <xdr:rowOff>87215</xdr:rowOff>
    </xdr:from>
    <xdr:to>
      <xdr:col>6</xdr:col>
      <xdr:colOff>2314</xdr:colOff>
      <xdr:row>19</xdr:row>
      <xdr:rowOff>41800</xdr:rowOff>
    </xdr:to>
    <xdr:sp macro="" textlink="">
      <xdr:nvSpPr>
        <xdr:cNvPr id="14" name="Rectangle: Rounded Corners 13">
          <a:extLst>
            <a:ext uri="{FF2B5EF4-FFF2-40B4-BE49-F238E27FC236}">
              <a16:creationId xmlns:a16="http://schemas.microsoft.com/office/drawing/2014/main" id="{9FC85755-414A-4E1D-80E9-71ABA6E3EB2E}"/>
            </a:ext>
          </a:extLst>
        </xdr:cNvPr>
        <xdr:cNvSpPr/>
      </xdr:nvSpPr>
      <xdr:spPr>
        <a:xfrm>
          <a:off x="2405664" y="2423536"/>
          <a:ext cx="1262876" cy="1032887"/>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93784</xdr:colOff>
      <xdr:row>13</xdr:row>
      <xdr:rowOff>77372</xdr:rowOff>
    </xdr:from>
    <xdr:to>
      <xdr:col>8</xdr:col>
      <xdr:colOff>134584</xdr:colOff>
      <xdr:row>19</xdr:row>
      <xdr:rowOff>31957</xdr:rowOff>
    </xdr:to>
    <xdr:sp macro="" textlink="">
      <xdr:nvSpPr>
        <xdr:cNvPr id="15" name="Rectangle: Rounded Corners 14">
          <a:extLst>
            <a:ext uri="{FF2B5EF4-FFF2-40B4-BE49-F238E27FC236}">
              <a16:creationId xmlns:a16="http://schemas.microsoft.com/office/drawing/2014/main" id="{D7E34133-35E5-431A-BB45-8BBE14F78821}"/>
            </a:ext>
          </a:extLst>
        </xdr:cNvPr>
        <xdr:cNvSpPr/>
      </xdr:nvSpPr>
      <xdr:spPr>
        <a:xfrm>
          <a:off x="3751384" y="2515772"/>
          <a:ext cx="1260000" cy="108000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375139</xdr:colOff>
      <xdr:row>26</xdr:row>
      <xdr:rowOff>30480</xdr:rowOff>
    </xdr:from>
    <xdr:to>
      <xdr:col>14</xdr:col>
      <xdr:colOff>415939</xdr:colOff>
      <xdr:row>31</xdr:row>
      <xdr:rowOff>172634</xdr:rowOff>
    </xdr:to>
    <xdr:sp macro="" textlink="">
      <xdr:nvSpPr>
        <xdr:cNvPr id="16" name="Rectangle: Rounded Corners 15">
          <a:extLst>
            <a:ext uri="{FF2B5EF4-FFF2-40B4-BE49-F238E27FC236}">
              <a16:creationId xmlns:a16="http://schemas.microsoft.com/office/drawing/2014/main" id="{EA05FEB0-EF4F-4B59-8C4C-931F620584F1}"/>
            </a:ext>
          </a:extLst>
        </xdr:cNvPr>
        <xdr:cNvSpPr/>
      </xdr:nvSpPr>
      <xdr:spPr>
        <a:xfrm>
          <a:off x="7690339" y="4907280"/>
          <a:ext cx="1260000" cy="108000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480646</xdr:colOff>
      <xdr:row>26</xdr:row>
      <xdr:rowOff>7033</xdr:rowOff>
    </xdr:from>
    <xdr:to>
      <xdr:col>16</xdr:col>
      <xdr:colOff>521446</xdr:colOff>
      <xdr:row>31</xdr:row>
      <xdr:rowOff>149187</xdr:rowOff>
    </xdr:to>
    <xdr:sp macro="" textlink="">
      <xdr:nvSpPr>
        <xdr:cNvPr id="17" name="Rectangle: Rounded Corners 16">
          <a:extLst>
            <a:ext uri="{FF2B5EF4-FFF2-40B4-BE49-F238E27FC236}">
              <a16:creationId xmlns:a16="http://schemas.microsoft.com/office/drawing/2014/main" id="{DA4D2D35-A8FE-407A-AACB-5082DAC9FE09}"/>
            </a:ext>
          </a:extLst>
        </xdr:cNvPr>
        <xdr:cNvSpPr/>
      </xdr:nvSpPr>
      <xdr:spPr>
        <a:xfrm>
          <a:off x="9015046" y="4883833"/>
          <a:ext cx="1260000" cy="108000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457200</xdr:colOff>
      <xdr:row>19</xdr:row>
      <xdr:rowOff>147710</xdr:rowOff>
    </xdr:from>
    <xdr:to>
      <xdr:col>16</xdr:col>
      <xdr:colOff>498000</xdr:colOff>
      <xdr:row>25</xdr:row>
      <xdr:rowOff>102294</xdr:rowOff>
    </xdr:to>
    <xdr:sp macro="" textlink="">
      <xdr:nvSpPr>
        <xdr:cNvPr id="18" name="Rectangle: Rounded Corners 17">
          <a:extLst>
            <a:ext uri="{FF2B5EF4-FFF2-40B4-BE49-F238E27FC236}">
              <a16:creationId xmlns:a16="http://schemas.microsoft.com/office/drawing/2014/main" id="{4271D8CC-2B9D-444D-94F3-12A9CCA1253F}"/>
            </a:ext>
          </a:extLst>
        </xdr:cNvPr>
        <xdr:cNvSpPr/>
      </xdr:nvSpPr>
      <xdr:spPr>
        <a:xfrm>
          <a:off x="8991600" y="3711525"/>
          <a:ext cx="1260000" cy="108000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394049</xdr:colOff>
      <xdr:row>8</xdr:row>
      <xdr:rowOff>39262</xdr:rowOff>
    </xdr:from>
    <xdr:to>
      <xdr:col>17</xdr:col>
      <xdr:colOff>82049</xdr:colOff>
      <xdr:row>17</xdr:row>
      <xdr:rowOff>7139</xdr:rowOff>
    </xdr:to>
    <xdr:sp macro="" textlink="">
      <xdr:nvSpPr>
        <xdr:cNvPr id="20" name="Rectangle: Rounded Corners 19">
          <a:extLst>
            <a:ext uri="{FF2B5EF4-FFF2-40B4-BE49-F238E27FC236}">
              <a16:creationId xmlns:a16="http://schemas.microsoft.com/office/drawing/2014/main" id="{7422346B-66BF-4B0E-8D0F-479D8E234F92}"/>
            </a:ext>
          </a:extLst>
        </xdr:cNvPr>
        <xdr:cNvSpPr/>
      </xdr:nvSpPr>
      <xdr:spPr>
        <a:xfrm>
          <a:off x="7726502" y="1476998"/>
          <a:ext cx="2743189" cy="158533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311213</xdr:colOff>
      <xdr:row>1</xdr:row>
      <xdr:rowOff>72992</xdr:rowOff>
    </xdr:from>
    <xdr:to>
      <xdr:col>16</xdr:col>
      <xdr:colOff>610251</xdr:colOff>
      <xdr:row>7</xdr:row>
      <xdr:rowOff>76037</xdr:rowOff>
    </xdr:to>
    <xdr:sp macro="" textlink="">
      <xdr:nvSpPr>
        <xdr:cNvPr id="21" name="Rectangle: Rounded Corners 20">
          <a:extLst>
            <a:ext uri="{FF2B5EF4-FFF2-40B4-BE49-F238E27FC236}">
              <a16:creationId xmlns:a16="http://schemas.microsoft.com/office/drawing/2014/main" id="{3479EBAB-602A-4242-8B77-47FB046148E3}"/>
            </a:ext>
          </a:extLst>
        </xdr:cNvPr>
        <xdr:cNvSpPr/>
      </xdr:nvSpPr>
      <xdr:spPr>
        <a:xfrm>
          <a:off x="7643666" y="252709"/>
          <a:ext cx="2743189" cy="1081347"/>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508626</xdr:colOff>
      <xdr:row>19</xdr:row>
      <xdr:rowOff>133930</xdr:rowOff>
    </xdr:from>
    <xdr:to>
      <xdr:col>16</xdr:col>
      <xdr:colOff>186905</xdr:colOff>
      <xdr:row>23</xdr:row>
      <xdr:rowOff>129395</xdr:rowOff>
    </xdr:to>
    <xdr:sp macro="" textlink="">
      <xdr:nvSpPr>
        <xdr:cNvPr id="23" name="TextBox 22">
          <a:extLst>
            <a:ext uri="{FF2B5EF4-FFF2-40B4-BE49-F238E27FC236}">
              <a16:creationId xmlns:a16="http://schemas.microsoft.com/office/drawing/2014/main" id="{FFCEE166-F688-E3C8-C95F-DF53601E55A2}"/>
            </a:ext>
          </a:extLst>
        </xdr:cNvPr>
        <xdr:cNvSpPr txBox="1"/>
      </xdr:nvSpPr>
      <xdr:spPr>
        <a:xfrm>
          <a:off x="9063154" y="3548553"/>
          <a:ext cx="900355" cy="71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rPr>
            <a:t>Part</a:t>
          </a:r>
        </a:p>
        <a:p>
          <a:r>
            <a:rPr lang="en-GB" sz="1100">
              <a:solidFill>
                <a:schemeClr val="bg1"/>
              </a:solidFill>
              <a:latin typeface="Sagona Book" panose="02020503050505020204" pitchFamily="18" charset="0"/>
              <a:ea typeface="+mn-ea"/>
              <a:cs typeface="+mn-cs"/>
            </a:rPr>
            <a:t>time</a:t>
          </a:r>
        </a:p>
        <a:p>
          <a:r>
            <a:rPr lang="en-GB" sz="1100">
              <a:solidFill>
                <a:schemeClr val="bg1"/>
              </a:solidFill>
              <a:latin typeface="Sagona Book" panose="02020503050505020204" pitchFamily="18" charset="0"/>
            </a:rPr>
            <a:t>employees</a:t>
          </a:r>
        </a:p>
      </xdr:txBody>
    </xdr:sp>
    <xdr:clientData/>
  </xdr:twoCellAnchor>
  <xdr:twoCellAnchor>
    <xdr:from>
      <xdr:col>15</xdr:col>
      <xdr:colOff>410973</xdr:colOff>
      <xdr:row>22</xdr:row>
      <xdr:rowOff>112363</xdr:rowOff>
    </xdr:from>
    <xdr:to>
      <xdr:col>16</xdr:col>
      <xdr:colOff>438509</xdr:colOff>
      <xdr:row>25</xdr:row>
      <xdr:rowOff>57507</xdr:rowOff>
    </xdr:to>
    <xdr:sp macro="" textlink="pivotTables!B11">
      <xdr:nvSpPr>
        <xdr:cNvPr id="24" name="TextBox 23">
          <a:extLst>
            <a:ext uri="{FF2B5EF4-FFF2-40B4-BE49-F238E27FC236}">
              <a16:creationId xmlns:a16="http://schemas.microsoft.com/office/drawing/2014/main" id="{1862DE2E-9853-A8BD-4200-60DD441E78EB}"/>
            </a:ext>
          </a:extLst>
        </xdr:cNvPr>
        <xdr:cNvSpPr txBox="1"/>
      </xdr:nvSpPr>
      <xdr:spPr>
        <a:xfrm>
          <a:off x="9576539" y="4066137"/>
          <a:ext cx="638574" cy="484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50EC64-7616-40D0-9EA7-B50E099CC6B0}" type="TxLink">
            <a:rPr lang="en-US" sz="3200" b="1" i="0" u="none" strike="noStrike">
              <a:solidFill>
                <a:schemeClr val="bg1"/>
              </a:solidFill>
              <a:latin typeface="Aptos Narrow"/>
            </a:rPr>
            <a:pPr/>
            <a:t>1</a:t>
          </a:fld>
          <a:endParaRPr lang="en-GB" sz="4000" b="1">
            <a:solidFill>
              <a:schemeClr val="bg1"/>
            </a:solidFill>
          </a:endParaRPr>
        </a:p>
      </xdr:txBody>
    </xdr:sp>
    <xdr:clientData/>
  </xdr:twoCellAnchor>
  <xdr:twoCellAnchor>
    <xdr:from>
      <xdr:col>14</xdr:col>
      <xdr:colOff>546235</xdr:colOff>
      <xdr:row>26</xdr:row>
      <xdr:rowOff>61861</xdr:rowOff>
    </xdr:from>
    <xdr:to>
      <xdr:col>16</xdr:col>
      <xdr:colOff>298174</xdr:colOff>
      <xdr:row>30</xdr:row>
      <xdr:rowOff>33130</xdr:rowOff>
    </xdr:to>
    <xdr:sp macro="" textlink="">
      <xdr:nvSpPr>
        <xdr:cNvPr id="25" name="TextBox 24">
          <a:extLst>
            <a:ext uri="{FF2B5EF4-FFF2-40B4-BE49-F238E27FC236}">
              <a16:creationId xmlns:a16="http://schemas.microsoft.com/office/drawing/2014/main" id="{BE27A273-CCF0-62B1-652F-BCDA1A085AFC}"/>
            </a:ext>
          </a:extLst>
        </xdr:cNvPr>
        <xdr:cNvSpPr txBox="1"/>
      </xdr:nvSpPr>
      <xdr:spPr>
        <a:xfrm>
          <a:off x="9049713" y="4943078"/>
          <a:ext cx="966722" cy="722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rPr>
            <a:t>Full</a:t>
          </a:r>
        </a:p>
        <a:p>
          <a:r>
            <a:rPr lang="en-GB" sz="1100">
              <a:solidFill>
                <a:schemeClr val="bg1"/>
              </a:solidFill>
              <a:latin typeface="Sagona Book" panose="02020503050505020204" pitchFamily="18" charset="0"/>
            </a:rPr>
            <a:t>time</a:t>
          </a:r>
        </a:p>
        <a:p>
          <a:r>
            <a:rPr lang="en-GB" sz="1100">
              <a:solidFill>
                <a:schemeClr val="bg1"/>
              </a:solidFill>
              <a:latin typeface="Sagona Book" panose="02020503050505020204" pitchFamily="18" charset="0"/>
            </a:rPr>
            <a:t>employees</a:t>
          </a:r>
        </a:p>
        <a:p>
          <a:endParaRPr lang="en-GB" sz="1050">
            <a:latin typeface="Sagona Book" panose="02020503050505020204" pitchFamily="18" charset="0"/>
          </a:endParaRPr>
        </a:p>
      </xdr:txBody>
    </xdr:sp>
    <xdr:clientData/>
  </xdr:twoCellAnchor>
  <xdr:twoCellAnchor>
    <xdr:from>
      <xdr:col>12</xdr:col>
      <xdr:colOff>386523</xdr:colOff>
      <xdr:row>26</xdr:row>
      <xdr:rowOff>33132</xdr:rowOff>
    </xdr:from>
    <xdr:to>
      <xdr:col>14</xdr:col>
      <xdr:colOff>441741</xdr:colOff>
      <xdr:row>30</xdr:row>
      <xdr:rowOff>99392</xdr:rowOff>
    </xdr:to>
    <xdr:sp macro="" textlink="">
      <xdr:nvSpPr>
        <xdr:cNvPr id="26" name="TextBox 25">
          <a:extLst>
            <a:ext uri="{FF2B5EF4-FFF2-40B4-BE49-F238E27FC236}">
              <a16:creationId xmlns:a16="http://schemas.microsoft.com/office/drawing/2014/main" id="{EB04903A-4FB1-0773-4AF6-3AC579FBC084}"/>
            </a:ext>
          </a:extLst>
        </xdr:cNvPr>
        <xdr:cNvSpPr txBox="1"/>
      </xdr:nvSpPr>
      <xdr:spPr>
        <a:xfrm>
          <a:off x="7675219" y="4914349"/>
          <a:ext cx="1270000" cy="817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rPr>
            <a:t>Employees</a:t>
          </a:r>
        </a:p>
        <a:p>
          <a:r>
            <a:rPr lang="en-GB" sz="1100">
              <a:solidFill>
                <a:schemeClr val="bg1"/>
              </a:solidFill>
              <a:latin typeface="Sagona Book" panose="02020503050505020204" pitchFamily="18" charset="0"/>
            </a:rPr>
            <a:t>With</a:t>
          </a:r>
        </a:p>
        <a:p>
          <a:r>
            <a:rPr lang="en-GB" sz="1100">
              <a:solidFill>
                <a:schemeClr val="bg1"/>
              </a:solidFill>
              <a:latin typeface="Sagona Book" panose="02020503050505020204" pitchFamily="18" charset="0"/>
            </a:rPr>
            <a:t>contracts</a:t>
          </a:r>
        </a:p>
      </xdr:txBody>
    </xdr:sp>
    <xdr:clientData/>
  </xdr:twoCellAnchor>
  <xdr:twoCellAnchor>
    <xdr:from>
      <xdr:col>15</xdr:col>
      <xdr:colOff>503208</xdr:colOff>
      <xdr:row>28</xdr:row>
      <xdr:rowOff>165342</xdr:rowOff>
    </xdr:from>
    <xdr:to>
      <xdr:col>16</xdr:col>
      <xdr:colOff>488830</xdr:colOff>
      <xdr:row>31</xdr:row>
      <xdr:rowOff>150963</xdr:rowOff>
    </xdr:to>
    <xdr:sp macro="" textlink="pivotTables!B10">
      <xdr:nvSpPr>
        <xdr:cNvPr id="27" name="TextBox 26">
          <a:extLst>
            <a:ext uri="{FF2B5EF4-FFF2-40B4-BE49-F238E27FC236}">
              <a16:creationId xmlns:a16="http://schemas.microsoft.com/office/drawing/2014/main" id="{2265709A-EAE7-7055-67CA-5CF1099C0A1E}"/>
            </a:ext>
          </a:extLst>
        </xdr:cNvPr>
        <xdr:cNvSpPr txBox="1"/>
      </xdr:nvSpPr>
      <xdr:spPr>
        <a:xfrm>
          <a:off x="9668774" y="5197417"/>
          <a:ext cx="596660" cy="52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1C00E8-9F70-468F-9757-BA4025312BC5}" type="TxLink">
            <a:rPr lang="en-US" sz="3200" b="1" i="0" u="none" strike="noStrike">
              <a:solidFill>
                <a:schemeClr val="bg1"/>
              </a:solidFill>
              <a:latin typeface="Aptos Narrow"/>
            </a:rPr>
            <a:pPr/>
            <a:t>3</a:t>
          </a:fld>
          <a:endParaRPr lang="en-GB" sz="3200" b="1">
            <a:solidFill>
              <a:schemeClr val="bg1"/>
            </a:solidFill>
          </a:endParaRPr>
        </a:p>
      </xdr:txBody>
    </xdr:sp>
    <xdr:clientData/>
  </xdr:twoCellAnchor>
  <xdr:twoCellAnchor>
    <xdr:from>
      <xdr:col>13</xdr:col>
      <xdr:colOff>373811</xdr:colOff>
      <xdr:row>28</xdr:row>
      <xdr:rowOff>172529</xdr:rowOff>
    </xdr:from>
    <xdr:to>
      <xdr:col>14</xdr:col>
      <xdr:colOff>359434</xdr:colOff>
      <xdr:row>31</xdr:row>
      <xdr:rowOff>158150</xdr:rowOff>
    </xdr:to>
    <xdr:sp macro="" textlink="pivotTables!B9">
      <xdr:nvSpPr>
        <xdr:cNvPr id="28" name="TextBox 27">
          <a:extLst>
            <a:ext uri="{FF2B5EF4-FFF2-40B4-BE49-F238E27FC236}">
              <a16:creationId xmlns:a16="http://schemas.microsoft.com/office/drawing/2014/main" id="{AC4380C5-1F3A-4BE4-B44E-D4FB2375C9A0}"/>
            </a:ext>
          </a:extLst>
        </xdr:cNvPr>
        <xdr:cNvSpPr txBox="1"/>
      </xdr:nvSpPr>
      <xdr:spPr>
        <a:xfrm>
          <a:off x="8317302" y="5204604"/>
          <a:ext cx="596660" cy="52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29921A-523B-4FCE-866F-0CC47CE21B20}" type="TxLink">
            <a:rPr lang="en-US" sz="3200" b="1" i="0" u="none" strike="noStrike">
              <a:solidFill>
                <a:schemeClr val="bg1"/>
              </a:solidFill>
              <a:latin typeface="Aptos Narrow"/>
              <a:ea typeface="+mn-ea"/>
              <a:cs typeface="+mn-cs"/>
            </a:rPr>
            <a:pPr marL="0" indent="0"/>
            <a:t>2</a:t>
          </a:fld>
          <a:endParaRPr lang="en-GB" sz="3200" b="1" i="0" u="none" strike="noStrike">
            <a:solidFill>
              <a:schemeClr val="bg1"/>
            </a:solidFill>
            <a:latin typeface="Aptos Narrow"/>
            <a:ea typeface="+mn-ea"/>
            <a:cs typeface="+mn-cs"/>
          </a:endParaRPr>
        </a:p>
      </xdr:txBody>
    </xdr:sp>
    <xdr:clientData/>
  </xdr:twoCellAnchor>
  <xdr:twoCellAnchor>
    <xdr:from>
      <xdr:col>8</xdr:col>
      <xdr:colOff>345056</xdr:colOff>
      <xdr:row>22</xdr:row>
      <xdr:rowOff>158150</xdr:rowOff>
    </xdr:from>
    <xdr:to>
      <xdr:col>10</xdr:col>
      <xdr:colOff>301924</xdr:colOff>
      <xdr:row>24</xdr:row>
      <xdr:rowOff>136584</xdr:rowOff>
    </xdr:to>
    <xdr:sp macro="" textlink="">
      <xdr:nvSpPr>
        <xdr:cNvPr id="29" name="TextBox 28">
          <a:extLst>
            <a:ext uri="{FF2B5EF4-FFF2-40B4-BE49-F238E27FC236}">
              <a16:creationId xmlns:a16="http://schemas.microsoft.com/office/drawing/2014/main" id="{52CD7063-5285-2221-5841-ABC52ACBF791}"/>
            </a:ext>
          </a:extLst>
        </xdr:cNvPr>
        <xdr:cNvSpPr txBox="1"/>
      </xdr:nvSpPr>
      <xdr:spPr>
        <a:xfrm>
          <a:off x="5233358" y="4111924"/>
          <a:ext cx="1178943" cy="33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rPr>
            <a:t>Total Salaries</a:t>
          </a:r>
        </a:p>
        <a:p>
          <a:endParaRPr lang="en-GB" sz="1100">
            <a:solidFill>
              <a:schemeClr val="bg1"/>
            </a:solidFill>
            <a:latin typeface="Sagona Book" panose="02020503050505020204" pitchFamily="18" charset="0"/>
          </a:endParaRPr>
        </a:p>
      </xdr:txBody>
    </xdr:sp>
    <xdr:clientData/>
  </xdr:twoCellAnchor>
  <xdr:twoCellAnchor>
    <xdr:from>
      <xdr:col>8</xdr:col>
      <xdr:colOff>380999</xdr:colOff>
      <xdr:row>24</xdr:row>
      <xdr:rowOff>53194</xdr:rowOff>
    </xdr:from>
    <xdr:to>
      <xdr:col>10</xdr:col>
      <xdr:colOff>179717</xdr:colOff>
      <xdr:row>25</xdr:row>
      <xdr:rowOff>125081</xdr:rowOff>
    </xdr:to>
    <xdr:sp macro="" textlink="">
      <xdr:nvSpPr>
        <xdr:cNvPr id="30" name="TextBox 29">
          <a:extLst>
            <a:ext uri="{FF2B5EF4-FFF2-40B4-BE49-F238E27FC236}">
              <a16:creationId xmlns:a16="http://schemas.microsoft.com/office/drawing/2014/main" id="{B6A1DE34-996D-AEB8-14C5-0F119C9EB0A8}"/>
            </a:ext>
          </a:extLst>
        </xdr:cNvPr>
        <xdr:cNvSpPr txBox="1"/>
      </xdr:nvSpPr>
      <xdr:spPr>
        <a:xfrm>
          <a:off x="5269301" y="4366402"/>
          <a:ext cx="1020793" cy="251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bg1"/>
              </a:solidFill>
              <a:effectLst/>
              <a:latin typeface="Sagona Book" panose="02020503050505020204" pitchFamily="18" charset="0"/>
              <a:ea typeface="+mn-ea"/>
              <a:cs typeface="+mn-cs"/>
            </a:rPr>
            <a:t>Managers</a:t>
          </a:r>
          <a:endParaRPr lang="en-GB">
            <a:solidFill>
              <a:schemeClr val="bg1"/>
            </a:solidFill>
            <a:effectLst/>
            <a:latin typeface="Sagona Book" panose="02020503050505020204" pitchFamily="18" charset="0"/>
          </a:endParaRPr>
        </a:p>
        <a:p>
          <a:endParaRPr lang="en-GB" sz="1100">
            <a:solidFill>
              <a:schemeClr val="bg1"/>
            </a:solidFill>
            <a:latin typeface="Sagona Book" panose="02020503050505020204" pitchFamily="18" charset="0"/>
          </a:endParaRPr>
        </a:p>
      </xdr:txBody>
    </xdr:sp>
    <xdr:clientData/>
  </xdr:twoCellAnchor>
  <xdr:twoCellAnchor>
    <xdr:from>
      <xdr:col>8</xdr:col>
      <xdr:colOff>381001</xdr:colOff>
      <xdr:row>25</xdr:row>
      <xdr:rowOff>127954</xdr:rowOff>
    </xdr:from>
    <xdr:to>
      <xdr:col>10</xdr:col>
      <xdr:colOff>381000</xdr:colOff>
      <xdr:row>27</xdr:row>
      <xdr:rowOff>93452</xdr:rowOff>
    </xdr:to>
    <xdr:sp macro="" textlink="">
      <xdr:nvSpPr>
        <xdr:cNvPr id="31" name="TextBox 30">
          <a:extLst>
            <a:ext uri="{FF2B5EF4-FFF2-40B4-BE49-F238E27FC236}">
              <a16:creationId xmlns:a16="http://schemas.microsoft.com/office/drawing/2014/main" id="{DB7E3057-8298-1A4E-6BA3-521EFAA71BE3}"/>
            </a:ext>
          </a:extLst>
        </xdr:cNvPr>
        <xdr:cNvSpPr txBox="1"/>
      </xdr:nvSpPr>
      <xdr:spPr>
        <a:xfrm>
          <a:off x="5269303" y="4620879"/>
          <a:ext cx="1222074" cy="324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bg1"/>
              </a:solidFill>
              <a:effectLst/>
              <a:latin typeface="Sagona Book" panose="02020503050505020204" pitchFamily="18" charset="0"/>
              <a:ea typeface="+mn-ea"/>
              <a:cs typeface="+mn-cs"/>
            </a:rPr>
            <a:t>HR</a:t>
          </a:r>
          <a:r>
            <a:rPr lang="en-GB" sz="1100" baseline="0">
              <a:solidFill>
                <a:schemeClr val="bg1"/>
              </a:solidFill>
              <a:effectLst/>
              <a:latin typeface="Sagona Book" panose="02020503050505020204" pitchFamily="18" charset="0"/>
              <a:ea typeface="+mn-ea"/>
              <a:cs typeface="+mn-cs"/>
            </a:rPr>
            <a:t> Specialists</a:t>
          </a:r>
          <a:endParaRPr lang="en-GB">
            <a:solidFill>
              <a:schemeClr val="bg1"/>
            </a:solidFill>
            <a:effectLst/>
            <a:latin typeface="Sagona Book" panose="02020503050505020204" pitchFamily="18" charset="0"/>
          </a:endParaRPr>
        </a:p>
        <a:p>
          <a:endParaRPr lang="en-GB" sz="1100">
            <a:solidFill>
              <a:schemeClr val="bg1"/>
            </a:solidFill>
            <a:latin typeface="Sagona Book" panose="02020503050505020204" pitchFamily="18" charset="0"/>
          </a:endParaRPr>
        </a:p>
      </xdr:txBody>
    </xdr:sp>
    <xdr:clientData/>
  </xdr:twoCellAnchor>
  <xdr:twoCellAnchor>
    <xdr:from>
      <xdr:col>8</xdr:col>
      <xdr:colOff>388189</xdr:colOff>
      <xdr:row>27</xdr:row>
      <xdr:rowOff>23000</xdr:rowOff>
    </xdr:from>
    <xdr:to>
      <xdr:col>10</xdr:col>
      <xdr:colOff>395378</xdr:colOff>
      <xdr:row>28</xdr:row>
      <xdr:rowOff>130832</xdr:rowOff>
    </xdr:to>
    <xdr:sp macro="" textlink="">
      <xdr:nvSpPr>
        <xdr:cNvPr id="32" name="TextBox 31">
          <a:extLst>
            <a:ext uri="{FF2B5EF4-FFF2-40B4-BE49-F238E27FC236}">
              <a16:creationId xmlns:a16="http://schemas.microsoft.com/office/drawing/2014/main" id="{A885D33F-E1C7-7939-A46B-A2E6EC5F7C97}"/>
            </a:ext>
          </a:extLst>
        </xdr:cNvPr>
        <xdr:cNvSpPr txBox="1"/>
      </xdr:nvSpPr>
      <xdr:spPr>
        <a:xfrm>
          <a:off x="5276491" y="4875358"/>
          <a:ext cx="1229264" cy="287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rPr>
            <a:t>Developers</a:t>
          </a:r>
        </a:p>
      </xdr:txBody>
    </xdr:sp>
    <xdr:clientData/>
  </xdr:twoCellAnchor>
  <xdr:twoCellAnchor>
    <xdr:from>
      <xdr:col>8</xdr:col>
      <xdr:colOff>402565</xdr:colOff>
      <xdr:row>28</xdr:row>
      <xdr:rowOff>133706</xdr:rowOff>
    </xdr:from>
    <xdr:to>
      <xdr:col>10</xdr:col>
      <xdr:colOff>43132</xdr:colOff>
      <xdr:row>30</xdr:row>
      <xdr:rowOff>69010</xdr:rowOff>
    </xdr:to>
    <xdr:sp macro="" textlink="">
      <xdr:nvSpPr>
        <xdr:cNvPr id="33" name="TextBox 32">
          <a:extLst>
            <a:ext uri="{FF2B5EF4-FFF2-40B4-BE49-F238E27FC236}">
              <a16:creationId xmlns:a16="http://schemas.microsoft.com/office/drawing/2014/main" id="{159FD110-9F52-5A40-3830-7E28C1577196}"/>
            </a:ext>
          </a:extLst>
        </xdr:cNvPr>
        <xdr:cNvSpPr txBox="1"/>
      </xdr:nvSpPr>
      <xdr:spPr>
        <a:xfrm>
          <a:off x="5290867" y="5165781"/>
          <a:ext cx="862642" cy="294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rPr>
            <a:t>Designers</a:t>
          </a:r>
        </a:p>
        <a:p>
          <a:endParaRPr lang="en-GB" sz="1100">
            <a:solidFill>
              <a:schemeClr val="bg1"/>
            </a:solidFill>
            <a:latin typeface="Sagona Book" panose="02020503050505020204" pitchFamily="18" charset="0"/>
          </a:endParaRPr>
        </a:p>
      </xdr:txBody>
    </xdr:sp>
    <xdr:clientData/>
  </xdr:twoCellAnchor>
  <xdr:twoCellAnchor>
    <xdr:from>
      <xdr:col>8</xdr:col>
      <xdr:colOff>424132</xdr:colOff>
      <xdr:row>30</xdr:row>
      <xdr:rowOff>43131</xdr:rowOff>
    </xdr:from>
    <xdr:to>
      <xdr:col>9</xdr:col>
      <xdr:colOff>582282</xdr:colOff>
      <xdr:row>31</xdr:row>
      <xdr:rowOff>158150</xdr:rowOff>
    </xdr:to>
    <xdr:sp macro="" textlink="">
      <xdr:nvSpPr>
        <xdr:cNvPr id="34" name="TextBox 33">
          <a:extLst>
            <a:ext uri="{FF2B5EF4-FFF2-40B4-BE49-F238E27FC236}">
              <a16:creationId xmlns:a16="http://schemas.microsoft.com/office/drawing/2014/main" id="{3D829AD3-A3AA-6B64-A69C-134843E19D51}"/>
            </a:ext>
          </a:extLst>
        </xdr:cNvPr>
        <xdr:cNvSpPr txBox="1"/>
      </xdr:nvSpPr>
      <xdr:spPr>
        <a:xfrm>
          <a:off x="5312434" y="5434640"/>
          <a:ext cx="769188"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rPr>
            <a:t>Analysis</a:t>
          </a:r>
        </a:p>
      </xdr:txBody>
    </xdr:sp>
    <xdr:clientData/>
  </xdr:twoCellAnchor>
  <xdr:twoCellAnchor>
    <xdr:from>
      <xdr:col>10</xdr:col>
      <xdr:colOff>182812</xdr:colOff>
      <xdr:row>23</xdr:row>
      <xdr:rowOff>7188</xdr:rowOff>
    </xdr:from>
    <xdr:to>
      <xdr:col>12</xdr:col>
      <xdr:colOff>182908</xdr:colOff>
      <xdr:row>32</xdr:row>
      <xdr:rowOff>397</xdr:rowOff>
    </xdr:to>
    <xdr:grpSp>
      <xdr:nvGrpSpPr>
        <xdr:cNvPr id="58" name="Group 57">
          <a:extLst>
            <a:ext uri="{FF2B5EF4-FFF2-40B4-BE49-F238E27FC236}">
              <a16:creationId xmlns:a16="http://schemas.microsoft.com/office/drawing/2014/main" id="{491CD04C-9093-CBDB-0B04-EFE393D05565}"/>
            </a:ext>
          </a:extLst>
        </xdr:cNvPr>
        <xdr:cNvGrpSpPr/>
      </xdr:nvGrpSpPr>
      <xdr:grpSpPr>
        <a:xfrm>
          <a:off x="6315983" y="4281822"/>
          <a:ext cx="1226730" cy="1665892"/>
          <a:chOff x="6357887" y="3932207"/>
          <a:chExt cx="1222172" cy="1610661"/>
        </a:xfrm>
      </xdr:grpSpPr>
      <xdr:sp macro="" textlink="">
        <xdr:nvSpPr>
          <xdr:cNvPr id="51" name="Rectangle: Rounded Corners 50">
            <a:extLst>
              <a:ext uri="{FF2B5EF4-FFF2-40B4-BE49-F238E27FC236}">
                <a16:creationId xmlns:a16="http://schemas.microsoft.com/office/drawing/2014/main" id="{55435F68-2DC9-D381-976F-1E4869DE3282}"/>
              </a:ext>
            </a:extLst>
          </xdr:cNvPr>
          <xdr:cNvSpPr/>
        </xdr:nvSpPr>
        <xdr:spPr>
          <a:xfrm>
            <a:off x="6498566" y="5290868"/>
            <a:ext cx="1080000" cy="252000"/>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2" name="Rectangle: Rounded Corners 51">
            <a:extLst>
              <a:ext uri="{FF2B5EF4-FFF2-40B4-BE49-F238E27FC236}">
                <a16:creationId xmlns:a16="http://schemas.microsoft.com/office/drawing/2014/main" id="{9BB3F885-310D-4E19-B6AA-9694C1830928}"/>
              </a:ext>
            </a:extLst>
          </xdr:cNvPr>
          <xdr:cNvSpPr/>
        </xdr:nvSpPr>
        <xdr:spPr>
          <a:xfrm>
            <a:off x="6493587" y="5022007"/>
            <a:ext cx="1080000" cy="252000"/>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3" name="Rectangle: Rounded Corners 52">
            <a:extLst>
              <a:ext uri="{FF2B5EF4-FFF2-40B4-BE49-F238E27FC236}">
                <a16:creationId xmlns:a16="http://schemas.microsoft.com/office/drawing/2014/main" id="{3DEE1A43-95A5-4AFA-8288-89184508B651}"/>
              </a:ext>
            </a:extLst>
          </xdr:cNvPr>
          <xdr:cNvSpPr/>
        </xdr:nvSpPr>
        <xdr:spPr>
          <a:xfrm>
            <a:off x="6495967" y="4760688"/>
            <a:ext cx="1080000" cy="252000"/>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4" name="Rectangle: Rounded Corners 53">
            <a:extLst>
              <a:ext uri="{FF2B5EF4-FFF2-40B4-BE49-F238E27FC236}">
                <a16:creationId xmlns:a16="http://schemas.microsoft.com/office/drawing/2014/main" id="{BABD2CE7-317C-4869-BD93-0E74BFFECC10}"/>
              </a:ext>
            </a:extLst>
          </xdr:cNvPr>
          <xdr:cNvSpPr/>
        </xdr:nvSpPr>
        <xdr:spPr>
          <a:xfrm>
            <a:off x="6500059" y="4486399"/>
            <a:ext cx="1080000" cy="252000"/>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5" name="Rectangle: Rounded Corners 54">
            <a:extLst>
              <a:ext uri="{FF2B5EF4-FFF2-40B4-BE49-F238E27FC236}">
                <a16:creationId xmlns:a16="http://schemas.microsoft.com/office/drawing/2014/main" id="{8D4FC9E7-0F3A-41D0-A497-1C1C553802B2}"/>
              </a:ext>
            </a:extLst>
          </xdr:cNvPr>
          <xdr:cNvSpPr/>
        </xdr:nvSpPr>
        <xdr:spPr>
          <a:xfrm>
            <a:off x="6516038" y="4212566"/>
            <a:ext cx="1053641" cy="242602"/>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6" name="Rectangle: Rounded Corners 55">
            <a:extLst>
              <a:ext uri="{FF2B5EF4-FFF2-40B4-BE49-F238E27FC236}">
                <a16:creationId xmlns:a16="http://schemas.microsoft.com/office/drawing/2014/main" id="{C0C73C18-FE1E-448E-86A2-E1D742582786}"/>
              </a:ext>
            </a:extLst>
          </xdr:cNvPr>
          <xdr:cNvSpPr/>
        </xdr:nvSpPr>
        <xdr:spPr>
          <a:xfrm>
            <a:off x="6541697" y="3939395"/>
            <a:ext cx="1020794" cy="244811"/>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Tables!E16">
        <xdr:nvSpPr>
          <xdr:cNvPr id="41" name="TextBox 40">
            <a:extLst>
              <a:ext uri="{FF2B5EF4-FFF2-40B4-BE49-F238E27FC236}">
                <a16:creationId xmlns:a16="http://schemas.microsoft.com/office/drawing/2014/main" id="{1720BCC5-51D7-4069-91B0-7948D1C1A0F5}"/>
              </a:ext>
            </a:extLst>
          </xdr:cNvPr>
          <xdr:cNvSpPr txBox="1"/>
        </xdr:nvSpPr>
        <xdr:spPr>
          <a:xfrm>
            <a:off x="6541697" y="3932207"/>
            <a:ext cx="903715" cy="30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13A94DA-FAF5-48CB-B361-D28B56EA1268}" type="TxLink">
              <a:rPr lang="en-US" sz="1100" b="0" i="0" u="none" strike="noStrike">
                <a:solidFill>
                  <a:schemeClr val="tx1"/>
                </a:solidFill>
                <a:latin typeface="Sagona Book" panose="02020503050505020204" pitchFamily="18" charset="0"/>
              </a:rPr>
              <a:pPr algn="r"/>
              <a:t> 435,579 </a:t>
            </a:fld>
            <a:endParaRPr lang="en-GB" sz="1100">
              <a:solidFill>
                <a:schemeClr val="tx1"/>
              </a:solidFill>
              <a:latin typeface="Sagona Book" panose="02020503050505020204" pitchFamily="18" charset="0"/>
            </a:endParaRPr>
          </a:p>
        </xdr:txBody>
      </xdr:sp>
      <xdr:sp macro="" textlink="pivotTables!E15">
        <xdr:nvSpPr>
          <xdr:cNvPr id="42" name="TextBox 41">
            <a:extLst>
              <a:ext uri="{FF2B5EF4-FFF2-40B4-BE49-F238E27FC236}">
                <a16:creationId xmlns:a16="http://schemas.microsoft.com/office/drawing/2014/main" id="{46ADFABC-E442-4243-BBF0-C7D38BB520AB}"/>
              </a:ext>
            </a:extLst>
          </xdr:cNvPr>
          <xdr:cNvSpPr txBox="1"/>
        </xdr:nvSpPr>
        <xdr:spPr>
          <a:xfrm>
            <a:off x="6357887" y="4214914"/>
            <a:ext cx="987134" cy="263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fld id="{EED0877C-836A-484D-B4A6-5F22A74CDB42}" type="TxLink">
              <a:rPr lang="en-US" sz="1100" b="0" i="0" u="none" strike="noStrike">
                <a:solidFill>
                  <a:schemeClr val="bg1"/>
                </a:solidFill>
                <a:effectLst/>
                <a:latin typeface="Sagona Book" panose="02020503050505020204" pitchFamily="18" charset="0"/>
                <a:ea typeface="+mn-ea"/>
                <a:cs typeface="+mn-cs"/>
              </a:rPr>
              <a:pPr marL="0" marR="0" lvl="0" indent="0" algn="r" defTabSz="914400" eaLnBrk="1" fontAlgn="auto" latinLnBrk="0" hangingPunct="1">
                <a:lnSpc>
                  <a:spcPct val="100000"/>
                </a:lnSpc>
                <a:spcBef>
                  <a:spcPts val="0"/>
                </a:spcBef>
                <a:spcAft>
                  <a:spcPts val="0"/>
                </a:spcAft>
                <a:buClrTx/>
                <a:buSzTx/>
                <a:buFontTx/>
                <a:buNone/>
                <a:tabLst/>
                <a:defRPr/>
              </a:pPr>
              <a:t> 67,582 </a:t>
            </a:fld>
            <a:endParaRPr lang="en-GB" sz="1100">
              <a:solidFill>
                <a:schemeClr val="bg1"/>
              </a:solidFill>
              <a:latin typeface="Sagona Book" panose="02020503050505020204" pitchFamily="18" charset="0"/>
            </a:endParaRPr>
          </a:p>
        </xdr:txBody>
      </xdr:sp>
      <xdr:sp macro="" textlink="pivotTables!E14">
        <xdr:nvSpPr>
          <xdr:cNvPr id="43" name="TextBox 42">
            <a:extLst>
              <a:ext uri="{FF2B5EF4-FFF2-40B4-BE49-F238E27FC236}">
                <a16:creationId xmlns:a16="http://schemas.microsoft.com/office/drawing/2014/main" id="{FC345F7C-B82C-4080-A04B-AF1B28B8D205}"/>
              </a:ext>
            </a:extLst>
          </xdr:cNvPr>
          <xdr:cNvSpPr txBox="1"/>
        </xdr:nvSpPr>
        <xdr:spPr>
          <a:xfrm>
            <a:off x="6441057" y="4509896"/>
            <a:ext cx="941464" cy="213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fld id="{6B586342-0F0E-4319-BC8A-6F2E47BC54BC}" type="TxLink">
              <a:rPr lang="en-US" sz="1100" b="0" i="0" u="none" strike="noStrike">
                <a:solidFill>
                  <a:schemeClr val="bg1"/>
                </a:solidFill>
                <a:effectLst/>
                <a:latin typeface="Sagona Book" panose="02020503050505020204" pitchFamily="18" charset="0"/>
                <a:ea typeface="+mn-ea"/>
                <a:cs typeface="+mn-cs"/>
              </a:rPr>
              <a:pPr marL="0" marR="0" lvl="0" indent="0" algn="r" defTabSz="914400" eaLnBrk="1" fontAlgn="auto" latinLnBrk="0" hangingPunct="1">
                <a:lnSpc>
                  <a:spcPct val="100000"/>
                </a:lnSpc>
                <a:spcBef>
                  <a:spcPts val="0"/>
                </a:spcBef>
                <a:spcAft>
                  <a:spcPts val="0"/>
                </a:spcAft>
                <a:buClrTx/>
                <a:buSzTx/>
                <a:buFontTx/>
                <a:buNone/>
                <a:tabLst/>
                <a:defRPr/>
              </a:pPr>
              <a:t> 271,748 </a:t>
            </a:fld>
            <a:endParaRPr lang="en-GB" sz="1100">
              <a:solidFill>
                <a:schemeClr val="bg1"/>
              </a:solidFill>
              <a:latin typeface="Sagona Book" panose="02020503050505020204" pitchFamily="18" charset="0"/>
            </a:endParaRPr>
          </a:p>
        </xdr:txBody>
      </xdr:sp>
      <xdr:sp macro="" textlink="pivotTables!E13">
        <xdr:nvSpPr>
          <xdr:cNvPr id="44" name="TextBox 43">
            <a:extLst>
              <a:ext uri="{FF2B5EF4-FFF2-40B4-BE49-F238E27FC236}">
                <a16:creationId xmlns:a16="http://schemas.microsoft.com/office/drawing/2014/main" id="{F8B3DD68-E31D-413C-8D25-333AE2F876BE}"/>
              </a:ext>
            </a:extLst>
          </xdr:cNvPr>
          <xdr:cNvSpPr txBox="1"/>
        </xdr:nvSpPr>
        <xdr:spPr>
          <a:xfrm>
            <a:off x="6592018" y="4766093"/>
            <a:ext cx="797943" cy="22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65E4054-9643-4AC2-A6A2-C101C8AF1145}" type="TxLink">
              <a:rPr lang="en-US" sz="1100" b="0" i="0" u="none" strike="noStrike">
                <a:solidFill>
                  <a:schemeClr val="bg1"/>
                </a:solidFill>
                <a:latin typeface="Sagona Book" panose="02020503050505020204" pitchFamily="18" charset="0"/>
              </a:rPr>
              <a:pPr algn="r"/>
              <a:t> 96,249 </a:t>
            </a:fld>
            <a:endParaRPr lang="en-GB" sz="1100">
              <a:solidFill>
                <a:schemeClr val="bg1"/>
              </a:solidFill>
              <a:latin typeface="Sagona Book" panose="02020503050505020204" pitchFamily="18" charset="0"/>
            </a:endParaRPr>
          </a:p>
        </xdr:txBody>
      </xdr:sp>
      <xdr:sp macro="" textlink="pivotTables!E12">
        <xdr:nvSpPr>
          <xdr:cNvPr id="45" name="TextBox 44">
            <a:extLst>
              <a:ext uri="{FF2B5EF4-FFF2-40B4-BE49-F238E27FC236}">
                <a16:creationId xmlns:a16="http://schemas.microsoft.com/office/drawing/2014/main" id="{DE8901FC-D40D-459E-BF39-3D18855E5180}"/>
              </a:ext>
            </a:extLst>
          </xdr:cNvPr>
          <xdr:cNvSpPr txBox="1"/>
        </xdr:nvSpPr>
        <xdr:spPr>
          <a:xfrm>
            <a:off x="6579851" y="4986591"/>
            <a:ext cx="834198" cy="309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9B97DE4-F5DC-4C3A-BE1D-B19D34E2F964}" type="TxLink">
              <a:rPr lang="en-US" sz="1100" b="0" i="0" u="none" strike="noStrike">
                <a:solidFill>
                  <a:schemeClr val="bg1"/>
                </a:solidFill>
                <a:latin typeface="Sagona Book" panose="02020503050505020204" pitchFamily="18" charset="0"/>
              </a:rPr>
              <a:pPr algn="r"/>
              <a:t>0</a:t>
            </a:fld>
            <a:endParaRPr lang="en-GB" sz="1100">
              <a:solidFill>
                <a:schemeClr val="bg1"/>
              </a:solidFill>
              <a:latin typeface="Sagona Book" panose="02020503050505020204" pitchFamily="18" charset="0"/>
            </a:endParaRPr>
          </a:p>
        </xdr:txBody>
      </xdr:sp>
      <xdr:sp macro="" textlink="pivotTables!E11">
        <xdr:nvSpPr>
          <xdr:cNvPr id="46" name="TextBox 45">
            <a:extLst>
              <a:ext uri="{FF2B5EF4-FFF2-40B4-BE49-F238E27FC236}">
                <a16:creationId xmlns:a16="http://schemas.microsoft.com/office/drawing/2014/main" id="{89411836-8E43-4AF7-B0E2-E69749069A8C}"/>
              </a:ext>
            </a:extLst>
          </xdr:cNvPr>
          <xdr:cNvSpPr txBox="1"/>
        </xdr:nvSpPr>
        <xdr:spPr>
          <a:xfrm>
            <a:off x="6671148" y="5218979"/>
            <a:ext cx="743826" cy="30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A7E3B77-A7E9-499B-AE18-0EDDA19BC94D}" type="TxLink">
              <a:rPr lang="en-US" sz="1100" b="0" i="0" u="none" strike="noStrike">
                <a:solidFill>
                  <a:schemeClr val="bg1"/>
                </a:solidFill>
                <a:latin typeface="Sagona Book" panose="02020503050505020204" pitchFamily="18" charset="0"/>
              </a:rPr>
              <a:pPr algn="r"/>
              <a:t>0</a:t>
            </a:fld>
            <a:endParaRPr lang="en-GB" sz="1100">
              <a:solidFill>
                <a:schemeClr val="bg1"/>
              </a:solidFill>
              <a:latin typeface="Sagona Book" panose="02020503050505020204" pitchFamily="18" charset="0"/>
            </a:endParaRPr>
          </a:p>
        </xdr:txBody>
      </xdr:sp>
    </xdr:grpSp>
    <xdr:clientData/>
  </xdr:twoCellAnchor>
  <xdr:twoCellAnchor>
    <xdr:from>
      <xdr:col>8</xdr:col>
      <xdr:colOff>381000</xdr:colOff>
      <xdr:row>21</xdr:row>
      <xdr:rowOff>115019</xdr:rowOff>
    </xdr:from>
    <xdr:to>
      <xdr:col>11</xdr:col>
      <xdr:colOff>158151</xdr:colOff>
      <xdr:row>22</xdr:row>
      <xdr:rowOff>122207</xdr:rowOff>
    </xdr:to>
    <xdr:sp macro="" textlink="">
      <xdr:nvSpPr>
        <xdr:cNvPr id="50" name="TextBox 49">
          <a:extLst>
            <a:ext uri="{FF2B5EF4-FFF2-40B4-BE49-F238E27FC236}">
              <a16:creationId xmlns:a16="http://schemas.microsoft.com/office/drawing/2014/main" id="{A3344503-9B18-1FE5-E8E3-B09E30CEE9EB}"/>
            </a:ext>
          </a:extLst>
        </xdr:cNvPr>
        <xdr:cNvSpPr txBox="1"/>
      </xdr:nvSpPr>
      <xdr:spPr>
        <a:xfrm>
          <a:off x="5269302" y="3889076"/>
          <a:ext cx="1610264" cy="186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chemeClr val="tx1">
                  <a:lumMod val="50000"/>
                  <a:lumOff val="50000"/>
                </a:schemeClr>
              </a:solidFill>
              <a:latin typeface="Sagona Book" panose="02020503050505020204" pitchFamily="18" charset="0"/>
            </a:rPr>
            <a:t>Salary amount by job titels</a:t>
          </a:r>
        </a:p>
      </xdr:txBody>
    </xdr:sp>
    <xdr:clientData/>
  </xdr:twoCellAnchor>
  <xdr:twoCellAnchor>
    <xdr:from>
      <xdr:col>8</xdr:col>
      <xdr:colOff>522377</xdr:colOff>
      <xdr:row>20</xdr:row>
      <xdr:rowOff>78811</xdr:rowOff>
    </xdr:from>
    <xdr:to>
      <xdr:col>10</xdr:col>
      <xdr:colOff>198887</xdr:colOff>
      <xdr:row>21</xdr:row>
      <xdr:rowOff>179450</xdr:rowOff>
    </xdr:to>
    <xdr:sp macro="" textlink="">
      <xdr:nvSpPr>
        <xdr:cNvPr id="57" name="TextBox 56">
          <a:extLst>
            <a:ext uri="{FF2B5EF4-FFF2-40B4-BE49-F238E27FC236}">
              <a16:creationId xmlns:a16="http://schemas.microsoft.com/office/drawing/2014/main" id="{0D7C4CC4-3484-45D6-6B4B-9448423C83F4}"/>
            </a:ext>
          </a:extLst>
        </xdr:cNvPr>
        <xdr:cNvSpPr txBox="1"/>
      </xdr:nvSpPr>
      <xdr:spPr>
        <a:xfrm>
          <a:off x="5376599" y="3747700"/>
          <a:ext cx="890066" cy="284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E5B244"/>
              </a:solidFill>
              <a:latin typeface="Sagona Book" panose="02020503050505020204" pitchFamily="18" charset="0"/>
            </a:rPr>
            <a:t>Salaries</a:t>
          </a:r>
          <a:endParaRPr lang="en-GB" sz="1000">
            <a:solidFill>
              <a:srgbClr val="E5B244"/>
            </a:solidFill>
            <a:latin typeface="Sagona Book" panose="02020503050505020204" pitchFamily="18" charset="0"/>
          </a:endParaRPr>
        </a:p>
      </xdr:txBody>
    </xdr:sp>
    <xdr:clientData/>
  </xdr:twoCellAnchor>
  <xdr:twoCellAnchor>
    <xdr:from>
      <xdr:col>12</xdr:col>
      <xdr:colOff>474453</xdr:colOff>
      <xdr:row>17</xdr:row>
      <xdr:rowOff>143773</xdr:rowOff>
    </xdr:from>
    <xdr:to>
      <xdr:col>17</xdr:col>
      <xdr:colOff>107830</xdr:colOff>
      <xdr:row>19</xdr:row>
      <xdr:rowOff>86262</xdr:rowOff>
    </xdr:to>
    <xdr:sp macro="" textlink="">
      <xdr:nvSpPr>
        <xdr:cNvPr id="61" name="TextBox 60">
          <a:extLst>
            <a:ext uri="{FF2B5EF4-FFF2-40B4-BE49-F238E27FC236}">
              <a16:creationId xmlns:a16="http://schemas.microsoft.com/office/drawing/2014/main" id="{6A66E855-954A-5127-7FEA-13775ED6EE7E}"/>
            </a:ext>
          </a:extLst>
        </xdr:cNvPr>
        <xdr:cNvSpPr txBox="1"/>
      </xdr:nvSpPr>
      <xdr:spPr>
        <a:xfrm>
          <a:off x="7806906" y="3198962"/>
          <a:ext cx="2688566" cy="301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E5B244"/>
              </a:solidFill>
              <a:latin typeface="Sagona Book" panose="02020503050505020204" pitchFamily="18" charset="0"/>
            </a:rPr>
            <a:t>Employments</a:t>
          </a:r>
          <a:r>
            <a:rPr lang="en-GB" sz="1200" baseline="0">
              <a:solidFill>
                <a:srgbClr val="E5B244"/>
              </a:solidFill>
              <a:latin typeface="Sagona Book" panose="02020503050505020204" pitchFamily="18" charset="0"/>
            </a:rPr>
            <a:t> Status BreackDown</a:t>
          </a:r>
          <a:endParaRPr lang="en-GB" sz="1200">
            <a:solidFill>
              <a:srgbClr val="E5B244"/>
            </a:solidFill>
            <a:latin typeface="Sagona Book" panose="02020503050505020204" pitchFamily="18" charset="0"/>
          </a:endParaRPr>
        </a:p>
      </xdr:txBody>
    </xdr:sp>
    <xdr:clientData/>
  </xdr:twoCellAnchor>
  <xdr:twoCellAnchor>
    <xdr:from>
      <xdr:col>12</xdr:col>
      <xdr:colOff>381000</xdr:colOff>
      <xdr:row>19</xdr:row>
      <xdr:rowOff>86264</xdr:rowOff>
    </xdr:from>
    <xdr:to>
      <xdr:col>14</xdr:col>
      <xdr:colOff>460076</xdr:colOff>
      <xdr:row>25</xdr:row>
      <xdr:rowOff>93452</xdr:rowOff>
    </xdr:to>
    <xdr:graphicFrame macro="">
      <xdr:nvGraphicFramePr>
        <xdr:cNvPr id="62" name="Chart 61">
          <a:extLst>
            <a:ext uri="{FF2B5EF4-FFF2-40B4-BE49-F238E27FC236}">
              <a16:creationId xmlns:a16="http://schemas.microsoft.com/office/drawing/2014/main" id="{6C16B099-C522-4F0E-9826-D95E01CEB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237225</xdr:colOff>
      <xdr:row>20</xdr:row>
      <xdr:rowOff>35943</xdr:rowOff>
    </xdr:from>
    <xdr:to>
      <xdr:col>16</xdr:col>
      <xdr:colOff>380999</xdr:colOff>
      <xdr:row>21</xdr:row>
      <xdr:rowOff>14376</xdr:rowOff>
    </xdr:to>
    <xdr:sp macro="" textlink="">
      <xdr:nvSpPr>
        <xdr:cNvPr id="63" name="Oval 62">
          <a:extLst>
            <a:ext uri="{FF2B5EF4-FFF2-40B4-BE49-F238E27FC236}">
              <a16:creationId xmlns:a16="http://schemas.microsoft.com/office/drawing/2014/main" id="{7469A718-DD49-FE2F-F885-AF38FA787040}"/>
            </a:ext>
          </a:extLst>
        </xdr:cNvPr>
        <xdr:cNvSpPr/>
      </xdr:nvSpPr>
      <xdr:spPr>
        <a:xfrm>
          <a:off x="10013829" y="3630283"/>
          <a:ext cx="143774" cy="158150"/>
        </a:xfrm>
        <a:prstGeom prst="ellipse">
          <a:avLst/>
        </a:prstGeom>
        <a:solidFill>
          <a:schemeClr val="accent2">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302366</xdr:colOff>
      <xdr:row>26</xdr:row>
      <xdr:rowOff>38663</xdr:rowOff>
    </xdr:from>
    <xdr:to>
      <xdr:col>16</xdr:col>
      <xdr:colOff>446140</xdr:colOff>
      <xdr:row>27</xdr:row>
      <xdr:rowOff>17097</xdr:rowOff>
    </xdr:to>
    <xdr:sp macro="" textlink="">
      <xdr:nvSpPr>
        <xdr:cNvPr id="65" name="Oval 64">
          <a:extLst>
            <a:ext uri="{FF2B5EF4-FFF2-40B4-BE49-F238E27FC236}">
              <a16:creationId xmlns:a16="http://schemas.microsoft.com/office/drawing/2014/main" id="{1FC2F017-4EB4-48B3-A696-155DFFA8D35D}"/>
            </a:ext>
          </a:extLst>
        </xdr:cNvPr>
        <xdr:cNvSpPr/>
      </xdr:nvSpPr>
      <xdr:spPr>
        <a:xfrm>
          <a:off x="10078970" y="4711305"/>
          <a:ext cx="143774" cy="158150"/>
        </a:xfrm>
        <a:prstGeom prst="ellipse">
          <a:avLst/>
        </a:prstGeom>
        <a:solidFill>
          <a:schemeClr val="tx1">
            <a:lumMod val="75000"/>
            <a:lumOff val="2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177426</xdr:colOff>
      <xdr:row>26</xdr:row>
      <xdr:rowOff>54802</xdr:rowOff>
    </xdr:from>
    <xdr:to>
      <xdr:col>14</xdr:col>
      <xdr:colOff>321200</xdr:colOff>
      <xdr:row>27</xdr:row>
      <xdr:rowOff>33236</xdr:rowOff>
    </xdr:to>
    <xdr:sp macro="" textlink="">
      <xdr:nvSpPr>
        <xdr:cNvPr id="66" name="Oval 65">
          <a:extLst>
            <a:ext uri="{FF2B5EF4-FFF2-40B4-BE49-F238E27FC236}">
              <a16:creationId xmlns:a16="http://schemas.microsoft.com/office/drawing/2014/main" id="{76D9DBFE-0238-48CE-9534-4976A9D8BC7E}"/>
            </a:ext>
          </a:extLst>
        </xdr:cNvPr>
        <xdr:cNvSpPr/>
      </xdr:nvSpPr>
      <xdr:spPr>
        <a:xfrm>
          <a:off x="8731954" y="4727444"/>
          <a:ext cx="143774" cy="158150"/>
        </a:xfrm>
        <a:prstGeom prst="ellipse">
          <a:avLst/>
        </a:prstGeom>
        <a:solidFill>
          <a:srgbClr val="E5B244"/>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65649</xdr:rowOff>
    </xdr:from>
    <xdr:to>
      <xdr:col>2</xdr:col>
      <xdr:colOff>488830</xdr:colOff>
      <xdr:row>9</xdr:row>
      <xdr:rowOff>87215</xdr:rowOff>
    </xdr:to>
    <xdr:graphicFrame macro="">
      <xdr:nvGraphicFramePr>
        <xdr:cNvPr id="67" name="Chart 66">
          <a:extLst>
            <a:ext uri="{FF2B5EF4-FFF2-40B4-BE49-F238E27FC236}">
              <a16:creationId xmlns:a16="http://schemas.microsoft.com/office/drawing/2014/main" id="{D9C219B7-3829-479F-8D5A-914163B90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172528</xdr:colOff>
      <xdr:row>23</xdr:row>
      <xdr:rowOff>71887</xdr:rowOff>
    </xdr:from>
    <xdr:to>
      <xdr:col>7</xdr:col>
      <xdr:colOff>460075</xdr:colOff>
      <xdr:row>33</xdr:row>
      <xdr:rowOff>1</xdr:rowOff>
    </xdr:to>
    <xdr:graphicFrame macro="">
      <xdr:nvGraphicFramePr>
        <xdr:cNvPr id="6" name="Chart 5">
          <a:extLst>
            <a:ext uri="{FF2B5EF4-FFF2-40B4-BE49-F238E27FC236}">
              <a16:creationId xmlns:a16="http://schemas.microsoft.com/office/drawing/2014/main" id="{124CE961-9583-4593-A5F7-993F902B8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162370</xdr:colOff>
      <xdr:row>21</xdr:row>
      <xdr:rowOff>45388</xdr:rowOff>
    </xdr:from>
    <xdr:to>
      <xdr:col>7</xdr:col>
      <xdr:colOff>424132</xdr:colOff>
      <xdr:row>23</xdr:row>
      <xdr:rowOff>129396</xdr:rowOff>
    </xdr:to>
    <xdr:sp macro="" textlink="">
      <xdr:nvSpPr>
        <xdr:cNvPr id="8" name="TextBox 7">
          <a:extLst>
            <a:ext uri="{FF2B5EF4-FFF2-40B4-BE49-F238E27FC236}">
              <a16:creationId xmlns:a16="http://schemas.microsoft.com/office/drawing/2014/main" id="{2CAAAC0F-0E45-43FF-AC53-947D0E68A6C1}"/>
            </a:ext>
          </a:extLst>
        </xdr:cNvPr>
        <xdr:cNvSpPr txBox="1"/>
      </xdr:nvSpPr>
      <xdr:spPr>
        <a:xfrm>
          <a:off x="2606521" y="3819445"/>
          <a:ext cx="2094875" cy="443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chemeClr val="tx1">
                  <a:lumMod val="50000"/>
                  <a:lumOff val="50000"/>
                </a:schemeClr>
              </a:solidFill>
              <a:latin typeface="Sagona Book" panose="02020503050505020204" pitchFamily="18" charset="0"/>
            </a:rPr>
            <a:t>No</a:t>
          </a:r>
          <a:r>
            <a:rPr lang="en-GB" sz="800" baseline="0">
              <a:solidFill>
                <a:schemeClr val="tx1">
                  <a:lumMod val="50000"/>
                  <a:lumOff val="50000"/>
                </a:schemeClr>
              </a:solidFill>
              <a:latin typeface="Sagona Book" panose="02020503050505020204" pitchFamily="18" charset="0"/>
            </a:rPr>
            <a:t> of employees according to age ranges and genders</a:t>
          </a:r>
        </a:p>
        <a:p>
          <a:endParaRPr lang="en-GB" sz="800">
            <a:solidFill>
              <a:schemeClr val="tx1">
                <a:lumMod val="50000"/>
                <a:lumOff val="50000"/>
              </a:schemeClr>
            </a:solidFill>
            <a:latin typeface="Sagona Book" panose="02020503050505020204" pitchFamily="18" charset="0"/>
          </a:endParaRPr>
        </a:p>
      </xdr:txBody>
    </xdr:sp>
    <xdr:clientData/>
  </xdr:twoCellAnchor>
  <xdr:twoCellAnchor>
    <xdr:from>
      <xdr:col>4</xdr:col>
      <xdr:colOff>382424</xdr:colOff>
      <xdr:row>20</xdr:row>
      <xdr:rowOff>80669</xdr:rowOff>
    </xdr:from>
    <xdr:to>
      <xdr:col>6</xdr:col>
      <xdr:colOff>63193</xdr:colOff>
      <xdr:row>21</xdr:row>
      <xdr:rowOff>181308</xdr:rowOff>
    </xdr:to>
    <xdr:sp macro="" textlink="">
      <xdr:nvSpPr>
        <xdr:cNvPr id="9" name="TextBox 8">
          <a:extLst>
            <a:ext uri="{FF2B5EF4-FFF2-40B4-BE49-F238E27FC236}">
              <a16:creationId xmlns:a16="http://schemas.microsoft.com/office/drawing/2014/main" id="{5B535A6B-8F95-45CD-AD0B-BD17757D65CA}"/>
            </a:ext>
          </a:extLst>
        </xdr:cNvPr>
        <xdr:cNvSpPr txBox="1"/>
      </xdr:nvSpPr>
      <xdr:spPr>
        <a:xfrm>
          <a:off x="2809535" y="3749558"/>
          <a:ext cx="894325" cy="284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rgbClr val="E5B244"/>
              </a:solidFill>
              <a:latin typeface="Sagona Book" panose="02020503050505020204" pitchFamily="18" charset="0"/>
            </a:rPr>
            <a:t>Age Range</a:t>
          </a:r>
        </a:p>
        <a:p>
          <a:endParaRPr lang="en-GB" sz="1000">
            <a:solidFill>
              <a:srgbClr val="E5B244"/>
            </a:solidFill>
            <a:latin typeface="Sagona Book" panose="02020503050505020204" pitchFamily="18" charset="0"/>
          </a:endParaRPr>
        </a:p>
      </xdr:txBody>
    </xdr:sp>
    <xdr:clientData/>
  </xdr:twoCellAnchor>
  <xdr:twoCellAnchor>
    <xdr:from>
      <xdr:col>7</xdr:col>
      <xdr:colOff>35943</xdr:colOff>
      <xdr:row>22</xdr:row>
      <xdr:rowOff>165339</xdr:rowOff>
    </xdr:from>
    <xdr:to>
      <xdr:col>8</xdr:col>
      <xdr:colOff>21565</xdr:colOff>
      <xdr:row>24</xdr:row>
      <xdr:rowOff>43130</xdr:rowOff>
    </xdr:to>
    <xdr:sp macro="" textlink="">
      <xdr:nvSpPr>
        <xdr:cNvPr id="59" name="TextBox 58">
          <a:extLst>
            <a:ext uri="{FF2B5EF4-FFF2-40B4-BE49-F238E27FC236}">
              <a16:creationId xmlns:a16="http://schemas.microsoft.com/office/drawing/2014/main" id="{A3ECBB86-290F-D302-7048-4792E8432126}"/>
            </a:ext>
          </a:extLst>
        </xdr:cNvPr>
        <xdr:cNvSpPr txBox="1"/>
      </xdr:nvSpPr>
      <xdr:spPr>
        <a:xfrm>
          <a:off x="4313207" y="4119113"/>
          <a:ext cx="596660" cy="23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ea typeface="+mn-ea"/>
              <a:cs typeface="+mn-cs"/>
            </a:rPr>
            <a:t>Male</a:t>
          </a:r>
        </a:p>
      </xdr:txBody>
    </xdr:sp>
    <xdr:clientData/>
  </xdr:twoCellAnchor>
  <xdr:twoCellAnchor>
    <xdr:from>
      <xdr:col>7</xdr:col>
      <xdr:colOff>14378</xdr:colOff>
      <xdr:row>23</xdr:row>
      <xdr:rowOff>79074</xdr:rowOff>
    </xdr:from>
    <xdr:to>
      <xdr:col>7</xdr:col>
      <xdr:colOff>93454</xdr:colOff>
      <xdr:row>23</xdr:row>
      <xdr:rowOff>165339</xdr:rowOff>
    </xdr:to>
    <xdr:sp macro="" textlink="">
      <xdr:nvSpPr>
        <xdr:cNvPr id="68" name="Oval 67">
          <a:extLst>
            <a:ext uri="{FF2B5EF4-FFF2-40B4-BE49-F238E27FC236}">
              <a16:creationId xmlns:a16="http://schemas.microsoft.com/office/drawing/2014/main" id="{48367298-172D-48F6-99DC-F08BA212A18F}"/>
            </a:ext>
          </a:extLst>
        </xdr:cNvPr>
        <xdr:cNvSpPr/>
      </xdr:nvSpPr>
      <xdr:spPr>
        <a:xfrm>
          <a:off x="4291642" y="4212565"/>
          <a:ext cx="79076" cy="86265"/>
        </a:xfrm>
        <a:prstGeom prst="ellipse">
          <a:avLst/>
        </a:prstGeom>
        <a:solidFill>
          <a:schemeClr val="accent2">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582282</xdr:colOff>
      <xdr:row>22</xdr:row>
      <xdr:rowOff>158151</xdr:rowOff>
    </xdr:from>
    <xdr:to>
      <xdr:col>7</xdr:col>
      <xdr:colOff>64698</xdr:colOff>
      <xdr:row>24</xdr:row>
      <xdr:rowOff>21566</xdr:rowOff>
    </xdr:to>
    <xdr:sp macro="" textlink="">
      <xdr:nvSpPr>
        <xdr:cNvPr id="69" name="TextBox 68">
          <a:extLst>
            <a:ext uri="{FF2B5EF4-FFF2-40B4-BE49-F238E27FC236}">
              <a16:creationId xmlns:a16="http://schemas.microsoft.com/office/drawing/2014/main" id="{7E1BF4A1-EFB9-BF26-A11C-02121C4A91ED}"/>
            </a:ext>
          </a:extLst>
        </xdr:cNvPr>
        <xdr:cNvSpPr txBox="1"/>
      </xdr:nvSpPr>
      <xdr:spPr>
        <a:xfrm>
          <a:off x="3637471" y="4111925"/>
          <a:ext cx="704491" cy="222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Sagona Book" panose="02020503050505020204" pitchFamily="18" charset="0"/>
              <a:ea typeface="+mn-ea"/>
              <a:cs typeface="+mn-cs"/>
            </a:rPr>
            <a:t>Female</a:t>
          </a:r>
        </a:p>
      </xdr:txBody>
    </xdr:sp>
    <xdr:clientData/>
  </xdr:twoCellAnchor>
  <xdr:twoCellAnchor>
    <xdr:from>
      <xdr:col>5</xdr:col>
      <xdr:colOff>539149</xdr:colOff>
      <xdr:row>23</xdr:row>
      <xdr:rowOff>64697</xdr:rowOff>
    </xdr:from>
    <xdr:to>
      <xdr:col>6</xdr:col>
      <xdr:colOff>4219</xdr:colOff>
      <xdr:row>23</xdr:row>
      <xdr:rowOff>160408</xdr:rowOff>
    </xdr:to>
    <xdr:sp macro="" textlink="">
      <xdr:nvSpPr>
        <xdr:cNvPr id="70" name="Oval 69">
          <a:extLst>
            <a:ext uri="{FF2B5EF4-FFF2-40B4-BE49-F238E27FC236}">
              <a16:creationId xmlns:a16="http://schemas.microsoft.com/office/drawing/2014/main" id="{2E9D3319-D1B4-4407-8043-338020867590}"/>
            </a:ext>
          </a:extLst>
        </xdr:cNvPr>
        <xdr:cNvSpPr/>
      </xdr:nvSpPr>
      <xdr:spPr>
        <a:xfrm>
          <a:off x="3594338" y="4198188"/>
          <a:ext cx="76107" cy="95711"/>
        </a:xfrm>
        <a:prstGeom prst="ellipse">
          <a:avLst/>
        </a:prstGeom>
        <a:solidFill>
          <a:srgbClr val="E5B244"/>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64699</xdr:colOff>
      <xdr:row>26</xdr:row>
      <xdr:rowOff>57506</xdr:rowOff>
    </xdr:from>
    <xdr:to>
      <xdr:col>2</xdr:col>
      <xdr:colOff>165341</xdr:colOff>
      <xdr:row>29</xdr:row>
      <xdr:rowOff>172526</xdr:rowOff>
    </xdr:to>
    <xdr:graphicFrame macro="">
      <xdr:nvGraphicFramePr>
        <xdr:cNvPr id="71" name="Chart 70">
          <a:extLst>
            <a:ext uri="{FF2B5EF4-FFF2-40B4-BE49-F238E27FC236}">
              <a16:creationId xmlns:a16="http://schemas.microsoft.com/office/drawing/2014/main" id="{707C6D51-3FFB-491C-9E0C-52EB89776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79076</xdr:colOff>
      <xdr:row>27</xdr:row>
      <xdr:rowOff>172531</xdr:rowOff>
    </xdr:from>
    <xdr:to>
      <xdr:col>2</xdr:col>
      <xdr:colOff>352246</xdr:colOff>
      <xdr:row>31</xdr:row>
      <xdr:rowOff>115019</xdr:rowOff>
    </xdr:to>
    <xdr:graphicFrame macro="">
      <xdr:nvGraphicFramePr>
        <xdr:cNvPr id="72" name="Chart 71">
          <a:extLst>
            <a:ext uri="{FF2B5EF4-FFF2-40B4-BE49-F238E27FC236}">
              <a16:creationId xmlns:a16="http://schemas.microsoft.com/office/drawing/2014/main" id="{B49EE957-AFDA-4138-BD8C-D3377F153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115018</xdr:colOff>
      <xdr:row>26</xdr:row>
      <xdr:rowOff>14376</xdr:rowOff>
    </xdr:from>
    <xdr:to>
      <xdr:col>3</xdr:col>
      <xdr:colOff>122207</xdr:colOff>
      <xdr:row>33</xdr:row>
      <xdr:rowOff>172527</xdr:rowOff>
    </xdr:to>
    <xdr:grpSp>
      <xdr:nvGrpSpPr>
        <xdr:cNvPr id="81" name="Group 80">
          <a:extLst>
            <a:ext uri="{FF2B5EF4-FFF2-40B4-BE49-F238E27FC236}">
              <a16:creationId xmlns:a16="http://schemas.microsoft.com/office/drawing/2014/main" id="{80048227-A9AA-F5CD-2440-5EBB0F19A725}"/>
            </a:ext>
          </a:extLst>
        </xdr:cNvPr>
        <xdr:cNvGrpSpPr/>
      </xdr:nvGrpSpPr>
      <xdr:grpSpPr>
        <a:xfrm>
          <a:off x="115018" y="4846571"/>
          <a:ext cx="1847140" cy="1459127"/>
          <a:chOff x="136585" y="4344837"/>
          <a:chExt cx="1840302" cy="1442048"/>
        </a:xfrm>
      </xdr:grpSpPr>
      <xdr:graphicFrame macro="">
        <xdr:nvGraphicFramePr>
          <xdr:cNvPr id="73" name="Chart 72">
            <a:extLst>
              <a:ext uri="{FF2B5EF4-FFF2-40B4-BE49-F238E27FC236}">
                <a16:creationId xmlns:a16="http://schemas.microsoft.com/office/drawing/2014/main" id="{6507B02D-7660-41FE-A6DF-099351C7ADA1}"/>
              </a:ext>
            </a:extLst>
          </xdr:cNvPr>
          <xdr:cNvGraphicFramePr>
            <a:graphicFrameLocks/>
          </xdr:cNvGraphicFramePr>
        </xdr:nvGraphicFramePr>
        <xdr:xfrm>
          <a:off x="136585" y="5102804"/>
          <a:ext cx="1495244" cy="684081"/>
        </xdr:xfrm>
        <a:graphic>
          <a:graphicData uri="http://schemas.openxmlformats.org/drawingml/2006/chart">
            <c:chart xmlns:c="http://schemas.openxmlformats.org/drawingml/2006/chart" xmlns:r="http://schemas.openxmlformats.org/officeDocument/2006/relationships" r:id="rId6"/>
          </a:graphicData>
        </a:graphic>
      </xdr:graphicFrame>
      <xdr:sp macro="" textlink="pivotTables!N8">
        <xdr:nvSpPr>
          <xdr:cNvPr id="3" name="TextBox 2">
            <a:extLst>
              <a:ext uri="{FF2B5EF4-FFF2-40B4-BE49-F238E27FC236}">
                <a16:creationId xmlns:a16="http://schemas.microsoft.com/office/drawing/2014/main" id="{3685BB25-E8FA-0862-B236-1F0BFD012141}"/>
              </a:ext>
            </a:extLst>
          </xdr:cNvPr>
          <xdr:cNvSpPr txBox="1"/>
        </xdr:nvSpPr>
        <xdr:spPr>
          <a:xfrm>
            <a:off x="143053" y="4344837"/>
            <a:ext cx="1309059" cy="277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AA5C66-D136-40FC-AFD9-A52A044483AC}" type="TxLink">
              <a:rPr lang="en-US" sz="1100" b="0" i="0" u="none" strike="noStrike">
                <a:solidFill>
                  <a:schemeClr val="bg1"/>
                </a:solidFill>
                <a:latin typeface="Sagona Book" panose="02020503050505020204" pitchFamily="18" charset="0"/>
                <a:cs typeface="Sabon Next LT" panose="02000500000000000000" pitchFamily="2" charset="0"/>
              </a:rPr>
              <a:pPr/>
              <a:t>Branch Office</a:t>
            </a:fld>
            <a:endParaRPr lang="en-GB" sz="1100">
              <a:solidFill>
                <a:schemeClr val="bg1"/>
              </a:solidFill>
              <a:latin typeface="Sagona Book" panose="02020503050505020204" pitchFamily="18" charset="0"/>
              <a:cs typeface="Sabon Next LT" panose="02000500000000000000" pitchFamily="2" charset="0"/>
            </a:endParaRPr>
          </a:p>
        </xdr:txBody>
      </xdr:sp>
      <xdr:sp macro="" textlink="pivotTables!N9">
        <xdr:nvSpPr>
          <xdr:cNvPr id="19" name="TextBox 18">
            <a:extLst>
              <a:ext uri="{FF2B5EF4-FFF2-40B4-BE49-F238E27FC236}">
                <a16:creationId xmlns:a16="http://schemas.microsoft.com/office/drawing/2014/main" id="{81AB79AC-1C6D-48D8-92AB-77F3B53F67EC}"/>
              </a:ext>
            </a:extLst>
          </xdr:cNvPr>
          <xdr:cNvSpPr txBox="1"/>
        </xdr:nvSpPr>
        <xdr:spPr>
          <a:xfrm>
            <a:off x="172527" y="4723913"/>
            <a:ext cx="1309059" cy="277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3E49D5-F0A2-4987-803C-39895CB47588}" type="TxLink">
              <a:rPr lang="en-US" sz="1100" b="0" i="0" u="none" strike="noStrike">
                <a:solidFill>
                  <a:schemeClr val="bg1"/>
                </a:solidFill>
                <a:latin typeface="Sagona Book" panose="02020503050505020204" pitchFamily="18" charset="0"/>
                <a:cs typeface="Sabon Next LT" panose="02000500000000000000" pitchFamily="2" charset="0"/>
              </a:rPr>
              <a:pPr/>
              <a:t>Head Office</a:t>
            </a:fld>
            <a:endParaRPr lang="en-GB" sz="1100">
              <a:solidFill>
                <a:schemeClr val="bg1"/>
              </a:solidFill>
              <a:latin typeface="Sagona Book" panose="02020503050505020204" pitchFamily="18" charset="0"/>
              <a:cs typeface="Sabon Next LT" panose="02000500000000000000" pitchFamily="2" charset="0"/>
            </a:endParaRPr>
          </a:p>
        </xdr:txBody>
      </xdr:sp>
      <xdr:sp macro="" textlink="pivotTables!N10">
        <xdr:nvSpPr>
          <xdr:cNvPr id="22" name="TextBox 21">
            <a:extLst>
              <a:ext uri="{FF2B5EF4-FFF2-40B4-BE49-F238E27FC236}">
                <a16:creationId xmlns:a16="http://schemas.microsoft.com/office/drawing/2014/main" id="{87596982-5CD8-4853-B97C-DC0468E7AEA8}"/>
              </a:ext>
            </a:extLst>
          </xdr:cNvPr>
          <xdr:cNvSpPr txBox="1"/>
        </xdr:nvSpPr>
        <xdr:spPr>
          <a:xfrm>
            <a:off x="165339" y="5060827"/>
            <a:ext cx="1309059" cy="277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18758B-04CD-4502-AA23-4303F55E399B}" type="TxLink">
              <a:rPr lang="en-US" sz="1100" b="0" i="0" u="none" strike="noStrike">
                <a:solidFill>
                  <a:schemeClr val="bg1"/>
                </a:solidFill>
                <a:latin typeface="Sagona Book" panose="02020503050505020204" pitchFamily="18" charset="0"/>
                <a:cs typeface="Sabon Next LT" panose="02000500000000000000" pitchFamily="2" charset="0"/>
              </a:rPr>
              <a:pPr/>
              <a:t>Remote</a:t>
            </a:fld>
            <a:endParaRPr lang="en-GB" sz="1100">
              <a:solidFill>
                <a:schemeClr val="bg1"/>
              </a:solidFill>
              <a:latin typeface="Sagona Book" panose="02020503050505020204" pitchFamily="18" charset="0"/>
              <a:cs typeface="Sabon Next LT" panose="02000500000000000000" pitchFamily="2" charset="0"/>
            </a:endParaRPr>
          </a:p>
        </xdr:txBody>
      </xdr:sp>
      <xdr:sp macro="" textlink="pivotTables!P8">
        <xdr:nvSpPr>
          <xdr:cNvPr id="35" name="TextBox 34">
            <a:extLst>
              <a:ext uri="{FF2B5EF4-FFF2-40B4-BE49-F238E27FC236}">
                <a16:creationId xmlns:a16="http://schemas.microsoft.com/office/drawing/2014/main" id="{CB906924-100B-B125-3F1C-D9DD525E17EB}"/>
              </a:ext>
            </a:extLst>
          </xdr:cNvPr>
          <xdr:cNvSpPr txBox="1"/>
        </xdr:nvSpPr>
        <xdr:spPr>
          <a:xfrm>
            <a:off x="1452113" y="4536058"/>
            <a:ext cx="524774"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8C05BF-2404-45F4-8D92-D521A8092D72}" type="TxLink">
              <a:rPr lang="en-US" sz="1000" b="0" i="0" u="none" strike="noStrike">
                <a:solidFill>
                  <a:schemeClr val="bg1"/>
                </a:solidFill>
                <a:latin typeface="Aptos Narrow"/>
              </a:rPr>
              <a:pPr/>
              <a:t>33%</a:t>
            </a:fld>
            <a:endParaRPr lang="en-GB" sz="1000" b="0">
              <a:solidFill>
                <a:schemeClr val="bg1"/>
              </a:solidFill>
            </a:endParaRPr>
          </a:p>
        </xdr:txBody>
      </xdr:sp>
      <xdr:sp macro="" textlink="pivotTables!P10">
        <xdr:nvSpPr>
          <xdr:cNvPr id="37" name="TextBox 36">
            <a:extLst>
              <a:ext uri="{FF2B5EF4-FFF2-40B4-BE49-F238E27FC236}">
                <a16:creationId xmlns:a16="http://schemas.microsoft.com/office/drawing/2014/main" id="{8F470ACD-2450-499A-838C-0CDA0724C409}"/>
              </a:ext>
            </a:extLst>
          </xdr:cNvPr>
          <xdr:cNvSpPr txBox="1"/>
        </xdr:nvSpPr>
        <xdr:spPr>
          <a:xfrm>
            <a:off x="1444924" y="5226170"/>
            <a:ext cx="524774"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EBC046-529B-4916-82E6-B0181935B35B}" type="TxLink">
              <a:rPr lang="en-US" sz="1000" b="0" i="0" u="none" strike="noStrike">
                <a:solidFill>
                  <a:schemeClr val="bg1"/>
                </a:solidFill>
                <a:latin typeface="Aptos Narrow"/>
              </a:rPr>
              <a:pPr/>
              <a:t>50%</a:t>
            </a:fld>
            <a:endParaRPr lang="en-GB" sz="1000" b="0">
              <a:solidFill>
                <a:schemeClr val="bg1"/>
              </a:solidFill>
            </a:endParaRPr>
          </a:p>
        </xdr:txBody>
      </xdr:sp>
      <xdr:sp macro="" textlink="pivotTables!P9">
        <xdr:nvSpPr>
          <xdr:cNvPr id="39" name="TextBox 38">
            <a:extLst>
              <a:ext uri="{FF2B5EF4-FFF2-40B4-BE49-F238E27FC236}">
                <a16:creationId xmlns:a16="http://schemas.microsoft.com/office/drawing/2014/main" id="{B1C3C219-0A34-4AA3-8B47-71FAA5632F28}"/>
              </a:ext>
            </a:extLst>
          </xdr:cNvPr>
          <xdr:cNvSpPr txBox="1"/>
        </xdr:nvSpPr>
        <xdr:spPr>
          <a:xfrm>
            <a:off x="1424796" y="4889740"/>
            <a:ext cx="524774"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F79C6F-129B-46C7-8CE9-B0BADE8448DA}" type="TxLink">
              <a:rPr lang="en-US" sz="1000" b="0" i="0" u="none" strike="noStrike">
                <a:solidFill>
                  <a:schemeClr val="bg1"/>
                </a:solidFill>
                <a:latin typeface="Aptos Narrow"/>
              </a:rPr>
              <a:pPr/>
              <a:t>17%</a:t>
            </a:fld>
            <a:endParaRPr lang="en-GB" sz="1000" b="0">
              <a:solidFill>
                <a:schemeClr val="bg1"/>
              </a:solidFill>
            </a:endParaRPr>
          </a:p>
        </xdr:txBody>
      </xdr:sp>
    </xdr:grpSp>
    <xdr:clientData/>
  </xdr:twoCellAnchor>
  <xdr:twoCellAnchor>
    <xdr:from>
      <xdr:col>0</xdr:col>
      <xdr:colOff>264116</xdr:colOff>
      <xdr:row>23</xdr:row>
      <xdr:rowOff>92521</xdr:rowOff>
    </xdr:from>
    <xdr:to>
      <xdr:col>2</xdr:col>
      <xdr:colOff>185042</xdr:colOff>
      <xdr:row>24</xdr:row>
      <xdr:rowOff>171596</xdr:rowOff>
    </xdr:to>
    <xdr:sp macro="" textlink="">
      <xdr:nvSpPr>
        <xdr:cNvPr id="10" name="TextBox 9">
          <a:extLst>
            <a:ext uri="{FF2B5EF4-FFF2-40B4-BE49-F238E27FC236}">
              <a16:creationId xmlns:a16="http://schemas.microsoft.com/office/drawing/2014/main" id="{58AAA0BB-B6BB-21D4-82C2-AD2B8FDA1BD3}"/>
            </a:ext>
          </a:extLst>
        </xdr:cNvPr>
        <xdr:cNvSpPr txBox="1"/>
      </xdr:nvSpPr>
      <xdr:spPr>
        <a:xfrm>
          <a:off x="264116" y="4311743"/>
          <a:ext cx="1134482" cy="262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rgbClr val="E5B244"/>
              </a:solidFill>
              <a:latin typeface="Sagona Book" panose="02020503050505020204" pitchFamily="18" charset="0"/>
              <a:ea typeface="+mn-ea"/>
              <a:cs typeface="+mn-cs"/>
            </a:rPr>
            <a:t>Work</a:t>
          </a:r>
          <a:r>
            <a:rPr lang="en-GB" sz="1100"/>
            <a:t> </a:t>
          </a:r>
          <a:r>
            <a:rPr lang="en-GB" sz="1000">
              <a:solidFill>
                <a:srgbClr val="E5B244"/>
              </a:solidFill>
              <a:latin typeface="Sagona Book" panose="02020503050505020204" pitchFamily="18" charset="0"/>
              <a:ea typeface="+mn-ea"/>
              <a:cs typeface="+mn-cs"/>
            </a:rPr>
            <a:t>Location</a:t>
          </a:r>
        </a:p>
      </xdr:txBody>
    </xdr:sp>
    <xdr:clientData/>
  </xdr:twoCellAnchor>
  <xdr:twoCellAnchor>
    <xdr:from>
      <xdr:col>0</xdr:col>
      <xdr:colOff>136586</xdr:colOff>
      <xdr:row>24</xdr:row>
      <xdr:rowOff>64698</xdr:rowOff>
    </xdr:from>
    <xdr:to>
      <xdr:col>2</xdr:col>
      <xdr:colOff>517587</xdr:colOff>
      <xdr:row>25</xdr:row>
      <xdr:rowOff>165339</xdr:rowOff>
    </xdr:to>
    <xdr:sp macro="" textlink="">
      <xdr:nvSpPr>
        <xdr:cNvPr id="36" name="TextBox 35">
          <a:extLst>
            <a:ext uri="{FF2B5EF4-FFF2-40B4-BE49-F238E27FC236}">
              <a16:creationId xmlns:a16="http://schemas.microsoft.com/office/drawing/2014/main" id="{DF22529A-5E40-32D0-2EAB-26FAE91DB4F2}"/>
            </a:ext>
          </a:extLst>
        </xdr:cNvPr>
        <xdr:cNvSpPr txBox="1"/>
      </xdr:nvSpPr>
      <xdr:spPr>
        <a:xfrm>
          <a:off x="136586" y="4377906"/>
          <a:ext cx="1603076" cy="28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aseline="0">
              <a:solidFill>
                <a:schemeClr val="tx1">
                  <a:lumMod val="50000"/>
                  <a:lumOff val="50000"/>
                </a:schemeClr>
              </a:solidFill>
              <a:latin typeface="Sagona Book" panose="02020503050505020204" pitchFamily="18" charset="0"/>
              <a:ea typeface="+mn-ea"/>
              <a:cs typeface="+mn-cs"/>
            </a:rPr>
            <a:t>Employees</a:t>
          </a:r>
          <a:r>
            <a:rPr lang="en-GB" sz="1100"/>
            <a:t> </a:t>
          </a:r>
          <a:r>
            <a:rPr lang="en-GB" sz="800" baseline="0">
              <a:solidFill>
                <a:schemeClr val="tx1">
                  <a:lumMod val="50000"/>
                  <a:lumOff val="50000"/>
                </a:schemeClr>
              </a:solidFill>
              <a:latin typeface="Sagona Book" panose="02020503050505020204" pitchFamily="18" charset="0"/>
              <a:ea typeface="+mn-ea"/>
              <a:cs typeface="+mn-cs"/>
            </a:rPr>
            <a:t>to workplace</a:t>
          </a:r>
        </a:p>
      </xdr:txBody>
    </xdr:sp>
    <xdr:clientData/>
  </xdr:twoCellAnchor>
  <xdr:twoCellAnchor>
    <xdr:from>
      <xdr:col>0</xdr:col>
      <xdr:colOff>71887</xdr:colOff>
      <xdr:row>13</xdr:row>
      <xdr:rowOff>134142</xdr:rowOff>
    </xdr:from>
    <xdr:to>
      <xdr:col>2</xdr:col>
      <xdr:colOff>194095</xdr:colOff>
      <xdr:row>15</xdr:row>
      <xdr:rowOff>57509</xdr:rowOff>
    </xdr:to>
    <xdr:sp macro="" textlink="">
      <xdr:nvSpPr>
        <xdr:cNvPr id="38" name="TextBox 37">
          <a:extLst>
            <a:ext uri="{FF2B5EF4-FFF2-40B4-BE49-F238E27FC236}">
              <a16:creationId xmlns:a16="http://schemas.microsoft.com/office/drawing/2014/main" id="{1085D1C7-3051-42BC-B7B8-33E233645C46}"/>
            </a:ext>
          </a:extLst>
        </xdr:cNvPr>
        <xdr:cNvSpPr txBox="1"/>
      </xdr:nvSpPr>
      <xdr:spPr>
        <a:xfrm>
          <a:off x="71887" y="2470463"/>
          <a:ext cx="1344283" cy="282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a:solidFill>
                <a:schemeClr val="bg1"/>
              </a:solidFill>
              <a:effectLst/>
              <a:latin typeface="Sagona Book" panose="02020503050505020204" pitchFamily="18" charset="0"/>
            </a:rPr>
            <a:t>Communication</a:t>
          </a:r>
        </a:p>
        <a:p>
          <a:pPr marL="0" marR="0" lvl="0" indent="0" algn="l" defTabSz="914400" eaLnBrk="1" fontAlgn="auto" latinLnBrk="0" hangingPunct="1">
            <a:lnSpc>
              <a:spcPct val="100000"/>
            </a:lnSpc>
            <a:spcBef>
              <a:spcPts val="0"/>
            </a:spcBef>
            <a:spcAft>
              <a:spcPts val="0"/>
            </a:spcAft>
            <a:buClrTx/>
            <a:buSzTx/>
            <a:buFontTx/>
            <a:buNone/>
            <a:tabLst/>
            <a:defRPr/>
          </a:pPr>
          <a:endParaRPr lang="en-GB">
            <a:solidFill>
              <a:schemeClr val="bg1"/>
            </a:solidFill>
            <a:effectLst/>
            <a:latin typeface="Sagona Book" panose="02020503050505020204" pitchFamily="18" charset="0"/>
          </a:endParaRPr>
        </a:p>
        <a:p>
          <a:pPr algn="l"/>
          <a:endParaRPr lang="en-GB" sz="1100">
            <a:solidFill>
              <a:schemeClr val="bg1"/>
            </a:solidFill>
            <a:latin typeface="Sagona Book" panose="02020503050505020204" pitchFamily="18" charset="0"/>
          </a:endParaRPr>
        </a:p>
      </xdr:txBody>
    </xdr:sp>
    <xdr:clientData/>
  </xdr:twoCellAnchor>
  <xdr:twoCellAnchor>
    <xdr:from>
      <xdr:col>0</xdr:col>
      <xdr:colOff>71889</xdr:colOff>
      <xdr:row>15</xdr:row>
      <xdr:rowOff>29186</xdr:rowOff>
    </xdr:from>
    <xdr:to>
      <xdr:col>2</xdr:col>
      <xdr:colOff>71888</xdr:colOff>
      <xdr:row>16</xdr:row>
      <xdr:rowOff>174400</xdr:rowOff>
    </xdr:to>
    <xdr:sp macro="" textlink="">
      <xdr:nvSpPr>
        <xdr:cNvPr id="40" name="TextBox 39">
          <a:extLst>
            <a:ext uri="{FF2B5EF4-FFF2-40B4-BE49-F238E27FC236}">
              <a16:creationId xmlns:a16="http://schemas.microsoft.com/office/drawing/2014/main" id="{8C389E10-1D06-423D-9D00-13A559698B8A}"/>
            </a:ext>
          </a:extLst>
        </xdr:cNvPr>
        <xdr:cNvSpPr txBox="1"/>
      </xdr:nvSpPr>
      <xdr:spPr>
        <a:xfrm>
          <a:off x="71889" y="2724941"/>
          <a:ext cx="1222074" cy="324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chemeClr val="bg1"/>
              </a:solidFill>
              <a:effectLst/>
              <a:latin typeface="Sagona Book" panose="02020503050505020204" pitchFamily="18" charset="0"/>
              <a:ea typeface="+mn-ea"/>
              <a:cs typeface="+mn-cs"/>
            </a:rPr>
            <a:t>Design</a:t>
          </a:r>
          <a:endParaRPr lang="en-GB">
            <a:solidFill>
              <a:schemeClr val="bg1"/>
            </a:solidFill>
            <a:effectLst/>
            <a:latin typeface="Sagona Book" panose="02020503050505020204" pitchFamily="18" charset="0"/>
          </a:endParaRPr>
        </a:p>
        <a:p>
          <a:pPr algn="l"/>
          <a:endParaRPr lang="en-GB" sz="1100">
            <a:solidFill>
              <a:schemeClr val="bg1"/>
            </a:solidFill>
            <a:latin typeface="Sagona Book" panose="02020503050505020204" pitchFamily="18" charset="0"/>
          </a:endParaRPr>
        </a:p>
      </xdr:txBody>
    </xdr:sp>
    <xdr:clientData/>
  </xdr:twoCellAnchor>
  <xdr:twoCellAnchor>
    <xdr:from>
      <xdr:col>0</xdr:col>
      <xdr:colOff>79077</xdr:colOff>
      <xdr:row>17</xdr:row>
      <xdr:rowOff>175834</xdr:rowOff>
    </xdr:from>
    <xdr:to>
      <xdr:col>2</xdr:col>
      <xdr:colOff>86266</xdr:colOff>
      <xdr:row>19</xdr:row>
      <xdr:rowOff>103949</xdr:rowOff>
    </xdr:to>
    <xdr:sp macro="" textlink="">
      <xdr:nvSpPr>
        <xdr:cNvPr id="47" name="TextBox 46">
          <a:extLst>
            <a:ext uri="{FF2B5EF4-FFF2-40B4-BE49-F238E27FC236}">
              <a16:creationId xmlns:a16="http://schemas.microsoft.com/office/drawing/2014/main" id="{6E884CE7-211A-4884-B44D-D56849F0203B}"/>
            </a:ext>
          </a:extLst>
        </xdr:cNvPr>
        <xdr:cNvSpPr txBox="1"/>
      </xdr:nvSpPr>
      <xdr:spPr>
        <a:xfrm>
          <a:off x="79077" y="3231023"/>
          <a:ext cx="1229264" cy="287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a:solidFill>
                <a:schemeClr val="bg1"/>
              </a:solidFill>
              <a:latin typeface="Sagona Book" panose="02020503050505020204" pitchFamily="18" charset="0"/>
            </a:rPr>
            <a:t>Management</a:t>
          </a:r>
        </a:p>
      </xdr:txBody>
    </xdr:sp>
    <xdr:clientData/>
  </xdr:twoCellAnchor>
  <xdr:twoCellAnchor>
    <xdr:from>
      <xdr:col>0</xdr:col>
      <xdr:colOff>93453</xdr:colOff>
      <xdr:row>19</xdr:row>
      <xdr:rowOff>106823</xdr:rowOff>
    </xdr:from>
    <xdr:to>
      <xdr:col>1</xdr:col>
      <xdr:colOff>345057</xdr:colOff>
      <xdr:row>21</xdr:row>
      <xdr:rowOff>42127</xdr:rowOff>
    </xdr:to>
    <xdr:sp macro="" textlink="">
      <xdr:nvSpPr>
        <xdr:cNvPr id="48" name="TextBox 47">
          <a:extLst>
            <a:ext uri="{FF2B5EF4-FFF2-40B4-BE49-F238E27FC236}">
              <a16:creationId xmlns:a16="http://schemas.microsoft.com/office/drawing/2014/main" id="{0D9C70D2-25F9-4B8B-BAA1-FFCB6D42C9F3}"/>
            </a:ext>
          </a:extLst>
        </xdr:cNvPr>
        <xdr:cNvSpPr txBox="1"/>
      </xdr:nvSpPr>
      <xdr:spPr>
        <a:xfrm>
          <a:off x="93453" y="3521446"/>
          <a:ext cx="862642" cy="294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a:solidFill>
                <a:schemeClr val="bg1"/>
              </a:solidFill>
              <a:latin typeface="Sagona Book" panose="02020503050505020204" pitchFamily="18" charset="0"/>
            </a:rPr>
            <a:t>python</a:t>
          </a:r>
        </a:p>
      </xdr:txBody>
    </xdr:sp>
    <xdr:clientData/>
  </xdr:twoCellAnchor>
  <xdr:twoCellAnchor>
    <xdr:from>
      <xdr:col>0</xdr:col>
      <xdr:colOff>100643</xdr:colOff>
      <xdr:row>16</xdr:row>
      <xdr:rowOff>102513</xdr:rowOff>
    </xdr:from>
    <xdr:to>
      <xdr:col>1</xdr:col>
      <xdr:colOff>258793</xdr:colOff>
      <xdr:row>18</xdr:row>
      <xdr:rowOff>37815</xdr:rowOff>
    </xdr:to>
    <xdr:sp macro="" textlink="">
      <xdr:nvSpPr>
        <xdr:cNvPr id="49" name="TextBox 48">
          <a:extLst>
            <a:ext uri="{FF2B5EF4-FFF2-40B4-BE49-F238E27FC236}">
              <a16:creationId xmlns:a16="http://schemas.microsoft.com/office/drawing/2014/main" id="{F1674D82-7705-469A-9C1F-DFD7DC8DC5EA}"/>
            </a:ext>
          </a:extLst>
        </xdr:cNvPr>
        <xdr:cNvSpPr txBox="1"/>
      </xdr:nvSpPr>
      <xdr:spPr>
        <a:xfrm>
          <a:off x="100643" y="2977985"/>
          <a:ext cx="769188"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a:solidFill>
                <a:schemeClr val="bg1"/>
              </a:solidFill>
              <a:latin typeface="Sagona Book" panose="02020503050505020204" pitchFamily="18" charset="0"/>
            </a:rPr>
            <a:t>Excel</a:t>
          </a:r>
        </a:p>
      </xdr:txBody>
    </xdr:sp>
    <xdr:clientData/>
  </xdr:twoCellAnchor>
  <xdr:twoCellAnchor>
    <xdr:from>
      <xdr:col>2</xdr:col>
      <xdr:colOff>136586</xdr:colOff>
      <xdr:row>13</xdr:row>
      <xdr:rowOff>150963</xdr:rowOff>
    </xdr:from>
    <xdr:to>
      <xdr:col>3</xdr:col>
      <xdr:colOff>57510</xdr:colOff>
      <xdr:row>15</xdr:row>
      <xdr:rowOff>71888</xdr:rowOff>
    </xdr:to>
    <xdr:sp macro="" textlink="pivotTables!T10">
      <xdr:nvSpPr>
        <xdr:cNvPr id="60" name="TextBox 59">
          <a:extLst>
            <a:ext uri="{FF2B5EF4-FFF2-40B4-BE49-F238E27FC236}">
              <a16:creationId xmlns:a16="http://schemas.microsoft.com/office/drawing/2014/main" id="{1CE395F3-7D9B-4F75-A355-B17D2F22EF64}"/>
            </a:ext>
          </a:extLst>
        </xdr:cNvPr>
        <xdr:cNvSpPr txBox="1"/>
      </xdr:nvSpPr>
      <xdr:spPr>
        <a:xfrm>
          <a:off x="1358661" y="2487284"/>
          <a:ext cx="531962" cy="280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27E28FFC-ED10-42E8-AC02-1C9314E1D026}" type="TxLink">
            <a:rPr lang="en-US" sz="1600" b="1" i="0" u="none" strike="noStrike">
              <a:solidFill>
                <a:srgbClr val="E5B244"/>
              </a:solidFill>
              <a:effectLst/>
              <a:latin typeface="Sagona Book" panose="02020503050505020204" pitchFamily="18" charset="0"/>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1</a:t>
          </a:fld>
          <a:endParaRPr lang="en-GB" sz="1600" b="1" i="0" u="none" strike="noStrike">
            <a:solidFill>
              <a:srgbClr val="E5B244"/>
            </a:solidFill>
            <a:effectLst/>
            <a:latin typeface="Sagona Book" panose="02020503050505020204" pitchFamily="18" charset="0"/>
            <a:ea typeface="+mn-ea"/>
            <a:cs typeface="+mn-cs"/>
          </a:endParaRPr>
        </a:p>
      </xdr:txBody>
    </xdr:sp>
    <xdr:clientData/>
  </xdr:twoCellAnchor>
  <xdr:twoCellAnchor>
    <xdr:from>
      <xdr:col>2</xdr:col>
      <xdr:colOff>150962</xdr:colOff>
      <xdr:row>14</xdr:row>
      <xdr:rowOff>165868</xdr:rowOff>
    </xdr:from>
    <xdr:to>
      <xdr:col>2</xdr:col>
      <xdr:colOff>546340</xdr:colOff>
      <xdr:row>17</xdr:row>
      <xdr:rowOff>14905</xdr:rowOff>
    </xdr:to>
    <xdr:sp macro="" textlink="pivotTables!T11">
      <xdr:nvSpPr>
        <xdr:cNvPr id="64" name="TextBox 63">
          <a:extLst>
            <a:ext uri="{FF2B5EF4-FFF2-40B4-BE49-F238E27FC236}">
              <a16:creationId xmlns:a16="http://schemas.microsoft.com/office/drawing/2014/main" id="{A8AADE22-D7A1-4C35-AA0B-7C305185E891}"/>
            </a:ext>
          </a:extLst>
        </xdr:cNvPr>
        <xdr:cNvSpPr txBox="1"/>
      </xdr:nvSpPr>
      <xdr:spPr>
        <a:xfrm>
          <a:off x="1373037" y="2681906"/>
          <a:ext cx="395378" cy="38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919E8B6E-F92D-4E93-A4F3-2BC7CF3558A0}" type="TxLink">
            <a:rPr lang="en-US" sz="1600" b="1" i="0" u="none" strike="noStrike">
              <a:solidFill>
                <a:srgbClr val="E5B244"/>
              </a:solidFill>
              <a:effectLst/>
              <a:latin typeface="Sagona Book" panose="02020503050505020204" pitchFamily="18" charset="0"/>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1</a:t>
          </a:fld>
          <a:endParaRPr lang="en-GB" sz="1600" b="1" i="0" u="none" strike="noStrike">
            <a:solidFill>
              <a:srgbClr val="E5B244"/>
            </a:solidFill>
            <a:effectLst/>
            <a:latin typeface="Sagona Book" panose="02020503050505020204" pitchFamily="18" charset="0"/>
            <a:ea typeface="+mn-ea"/>
            <a:cs typeface="+mn-cs"/>
          </a:endParaRPr>
        </a:p>
      </xdr:txBody>
    </xdr:sp>
    <xdr:clientData/>
  </xdr:twoCellAnchor>
  <xdr:twoCellAnchor>
    <xdr:from>
      <xdr:col>2</xdr:col>
      <xdr:colOff>143773</xdr:colOff>
      <xdr:row>18</xdr:row>
      <xdr:rowOff>6661</xdr:rowOff>
    </xdr:from>
    <xdr:to>
      <xdr:col>2</xdr:col>
      <xdr:colOff>546340</xdr:colOff>
      <xdr:row>19</xdr:row>
      <xdr:rowOff>35417</xdr:rowOff>
    </xdr:to>
    <xdr:sp macro="" textlink="pivotTables!T13">
      <xdr:nvSpPr>
        <xdr:cNvPr id="74" name="TextBox 73">
          <a:extLst>
            <a:ext uri="{FF2B5EF4-FFF2-40B4-BE49-F238E27FC236}">
              <a16:creationId xmlns:a16="http://schemas.microsoft.com/office/drawing/2014/main" id="{2D74ED05-3A85-4735-A900-1E8639FF7FC8}"/>
            </a:ext>
          </a:extLst>
        </xdr:cNvPr>
        <xdr:cNvSpPr txBox="1"/>
      </xdr:nvSpPr>
      <xdr:spPr>
        <a:xfrm>
          <a:off x="1365848" y="3241567"/>
          <a:ext cx="402567" cy="208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0F87A6F6-9E5F-4CEC-9E50-7017D426FD44}" type="TxLink">
            <a:rPr lang="en-US" sz="1600" b="1" i="0" u="none" strike="noStrike">
              <a:solidFill>
                <a:srgbClr val="E5B244"/>
              </a:solidFill>
              <a:effectLst/>
              <a:latin typeface="Sagona Book" panose="02020503050505020204" pitchFamily="18" charset="0"/>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3</a:t>
          </a:fld>
          <a:endParaRPr lang="en-GB" sz="1600" b="1" i="0" u="none" strike="noStrike">
            <a:solidFill>
              <a:srgbClr val="E5B244"/>
            </a:solidFill>
            <a:effectLst/>
            <a:latin typeface="Sagona Book" panose="02020503050505020204" pitchFamily="18" charset="0"/>
            <a:ea typeface="+mn-ea"/>
            <a:cs typeface="+mn-cs"/>
          </a:endParaRPr>
        </a:p>
      </xdr:txBody>
    </xdr:sp>
    <xdr:clientData/>
  </xdr:twoCellAnchor>
  <xdr:twoCellAnchor>
    <xdr:from>
      <xdr:col>2</xdr:col>
      <xdr:colOff>186906</xdr:colOff>
      <xdr:row>19</xdr:row>
      <xdr:rowOff>93454</xdr:rowOff>
    </xdr:from>
    <xdr:to>
      <xdr:col>2</xdr:col>
      <xdr:colOff>546340</xdr:colOff>
      <xdr:row>21</xdr:row>
      <xdr:rowOff>2204</xdr:rowOff>
    </xdr:to>
    <xdr:sp macro="" textlink="pivotTables!T14">
      <xdr:nvSpPr>
        <xdr:cNvPr id="75" name="TextBox 74">
          <a:extLst>
            <a:ext uri="{FF2B5EF4-FFF2-40B4-BE49-F238E27FC236}">
              <a16:creationId xmlns:a16="http://schemas.microsoft.com/office/drawing/2014/main" id="{57BD1B90-83DA-429C-9373-5510F1D5C3B2}"/>
            </a:ext>
          </a:extLst>
        </xdr:cNvPr>
        <xdr:cNvSpPr txBox="1"/>
      </xdr:nvSpPr>
      <xdr:spPr>
        <a:xfrm>
          <a:off x="1408981" y="3508077"/>
          <a:ext cx="359434" cy="268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57523827-AAD3-40C7-937A-BDA7D9B71527}" type="TxLink">
            <a:rPr lang="en-US" sz="1600" b="1" i="0" u="none" strike="noStrike">
              <a:solidFill>
                <a:srgbClr val="E5B244"/>
              </a:solidFill>
              <a:effectLst/>
              <a:latin typeface="Sagona Book" panose="02020503050505020204" pitchFamily="18" charset="0"/>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0</a:t>
          </a:fld>
          <a:endParaRPr lang="en-GB" sz="1600" b="1" i="0" u="none" strike="noStrike">
            <a:solidFill>
              <a:srgbClr val="E5B244"/>
            </a:solidFill>
            <a:effectLst/>
            <a:latin typeface="Sagona Book" panose="02020503050505020204" pitchFamily="18" charset="0"/>
            <a:ea typeface="+mn-ea"/>
            <a:cs typeface="+mn-cs"/>
          </a:endParaRPr>
        </a:p>
      </xdr:txBody>
    </xdr:sp>
    <xdr:clientData/>
  </xdr:twoCellAnchor>
  <xdr:twoCellAnchor>
    <xdr:from>
      <xdr:col>2</xdr:col>
      <xdr:colOff>201281</xdr:colOff>
      <xdr:row>16</xdr:row>
      <xdr:rowOff>159205</xdr:rowOff>
    </xdr:from>
    <xdr:to>
      <xdr:col>2</xdr:col>
      <xdr:colOff>603848</xdr:colOff>
      <xdr:row>18</xdr:row>
      <xdr:rowOff>6134</xdr:rowOff>
    </xdr:to>
    <xdr:sp macro="" textlink="pivotTables!T12">
      <xdr:nvSpPr>
        <xdr:cNvPr id="76" name="TextBox 75">
          <a:extLst>
            <a:ext uri="{FF2B5EF4-FFF2-40B4-BE49-F238E27FC236}">
              <a16:creationId xmlns:a16="http://schemas.microsoft.com/office/drawing/2014/main" id="{D9D1D015-3957-4C79-927B-8630114B0F99}"/>
            </a:ext>
          </a:extLst>
        </xdr:cNvPr>
        <xdr:cNvSpPr txBox="1"/>
      </xdr:nvSpPr>
      <xdr:spPr>
        <a:xfrm>
          <a:off x="1423356" y="3034677"/>
          <a:ext cx="402567" cy="206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C33E6C09-90D1-4FB7-B179-743E15F0ECB5}" type="TxLink">
            <a:rPr lang="en-US" sz="1600" b="1" i="0" u="none" strike="noStrike">
              <a:solidFill>
                <a:srgbClr val="E5B244"/>
              </a:solidFill>
              <a:effectLst/>
              <a:latin typeface="Sagona Book" panose="02020503050505020204" pitchFamily="18" charset="0"/>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1</a:t>
          </a:fld>
          <a:endParaRPr lang="en-GB" sz="1600" b="1" i="0" u="none" strike="noStrike">
            <a:solidFill>
              <a:srgbClr val="E5B244"/>
            </a:solidFill>
            <a:effectLst/>
            <a:latin typeface="Sagona Book" panose="02020503050505020204" pitchFamily="18" charset="0"/>
            <a:ea typeface="+mn-ea"/>
            <a:cs typeface="+mn-cs"/>
          </a:endParaRPr>
        </a:p>
      </xdr:txBody>
    </xdr:sp>
    <xdr:clientData/>
  </xdr:twoCellAnchor>
  <xdr:twoCellAnchor>
    <xdr:from>
      <xdr:col>0</xdr:col>
      <xdr:colOff>100642</xdr:colOff>
      <xdr:row>10</xdr:row>
      <xdr:rowOff>150963</xdr:rowOff>
    </xdr:from>
    <xdr:to>
      <xdr:col>2</xdr:col>
      <xdr:colOff>496019</xdr:colOff>
      <xdr:row>13</xdr:row>
      <xdr:rowOff>158151</xdr:rowOff>
    </xdr:to>
    <xdr:sp macro="" textlink="">
      <xdr:nvSpPr>
        <xdr:cNvPr id="89" name="TextBox 88">
          <a:extLst>
            <a:ext uri="{FF2B5EF4-FFF2-40B4-BE49-F238E27FC236}">
              <a16:creationId xmlns:a16="http://schemas.microsoft.com/office/drawing/2014/main" id="{C66296D7-E7D1-0A7F-1193-8888CA889C20}"/>
            </a:ext>
          </a:extLst>
        </xdr:cNvPr>
        <xdr:cNvSpPr txBox="1"/>
      </xdr:nvSpPr>
      <xdr:spPr>
        <a:xfrm>
          <a:off x="100642" y="1948133"/>
          <a:ext cx="1617452" cy="546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E5B244"/>
              </a:solidFill>
              <a:latin typeface="Sagona Book" panose="02020503050505020204" pitchFamily="18" charset="0"/>
              <a:ea typeface="+mn-ea"/>
              <a:cs typeface="+mn-cs"/>
            </a:rPr>
            <a:t>Skills</a:t>
          </a:r>
        </a:p>
        <a:p>
          <a:r>
            <a:rPr lang="en-GB" sz="1400">
              <a:solidFill>
                <a:srgbClr val="E5B244"/>
              </a:solidFill>
              <a:latin typeface="Sagona Book" panose="02020503050505020204" pitchFamily="18" charset="0"/>
              <a:ea typeface="+mn-ea"/>
              <a:cs typeface="+mn-cs"/>
            </a:rPr>
            <a:t>BreakDown</a:t>
          </a:r>
        </a:p>
      </xdr:txBody>
    </xdr:sp>
    <xdr:clientData/>
  </xdr:twoCellAnchor>
  <xdr:twoCellAnchor editAs="oneCell">
    <xdr:from>
      <xdr:col>1</xdr:col>
      <xdr:colOff>244759</xdr:colOff>
      <xdr:row>7</xdr:row>
      <xdr:rowOff>122207</xdr:rowOff>
    </xdr:from>
    <xdr:to>
      <xdr:col>2</xdr:col>
      <xdr:colOff>360872</xdr:colOff>
      <xdr:row>11</xdr:row>
      <xdr:rowOff>73323</xdr:rowOff>
    </xdr:to>
    <xdr:pic>
      <xdr:nvPicPr>
        <xdr:cNvPr id="91" name="Graphic 90" descr="Remote work with solid fill">
          <a:extLst>
            <a:ext uri="{FF2B5EF4-FFF2-40B4-BE49-F238E27FC236}">
              <a16:creationId xmlns:a16="http://schemas.microsoft.com/office/drawing/2014/main" id="{2CBD58A6-68BF-A0CC-479A-B952CBAAB1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5797" y="1380226"/>
          <a:ext cx="727150" cy="669984"/>
        </a:xfrm>
        <a:prstGeom prst="rect">
          <a:avLst/>
        </a:prstGeom>
      </xdr:spPr>
    </xdr:pic>
    <xdr:clientData/>
  </xdr:twoCellAnchor>
  <xdr:twoCellAnchor>
    <xdr:from>
      <xdr:col>4</xdr:col>
      <xdr:colOff>114924</xdr:colOff>
      <xdr:row>7</xdr:row>
      <xdr:rowOff>161535</xdr:rowOff>
    </xdr:from>
    <xdr:to>
      <xdr:col>5</xdr:col>
      <xdr:colOff>524773</xdr:colOff>
      <xdr:row>11</xdr:row>
      <xdr:rowOff>21566</xdr:rowOff>
    </xdr:to>
    <xdr:sp macro="" textlink="pivotTables!I16">
      <xdr:nvSpPr>
        <xdr:cNvPr id="98" name="TextBox 97">
          <a:extLst>
            <a:ext uri="{FF2B5EF4-FFF2-40B4-BE49-F238E27FC236}">
              <a16:creationId xmlns:a16="http://schemas.microsoft.com/office/drawing/2014/main" id="{78889F8C-C490-4730-9BA1-63675A21B6E7}"/>
            </a:ext>
          </a:extLst>
        </xdr:cNvPr>
        <xdr:cNvSpPr txBox="1"/>
      </xdr:nvSpPr>
      <xdr:spPr>
        <a:xfrm>
          <a:off x="2559075" y="1419554"/>
          <a:ext cx="1020887" cy="578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48FA67DA-AE1A-4E40-B767-3A489564610B}" type="TxLink">
            <a:rPr lang="en-US" sz="4800" b="1" i="0" u="none" strike="noStrike">
              <a:solidFill>
                <a:schemeClr val="bg1"/>
              </a:solidFill>
              <a:effectLst/>
              <a:latin typeface="Kulim"/>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11</a:t>
          </a:fld>
          <a:endParaRPr lang="en-GB" sz="6600" b="1" i="0" u="none" strike="noStrike">
            <a:solidFill>
              <a:schemeClr val="bg1"/>
            </a:solidFill>
            <a:effectLst/>
            <a:latin typeface="Kulim"/>
            <a:ea typeface="+mn-ea"/>
            <a:cs typeface="+mn-cs"/>
          </a:endParaRPr>
        </a:p>
      </xdr:txBody>
    </xdr:sp>
    <xdr:clientData/>
  </xdr:twoCellAnchor>
  <xdr:twoCellAnchor>
    <xdr:from>
      <xdr:col>4</xdr:col>
      <xdr:colOff>107830</xdr:colOff>
      <xdr:row>10</xdr:row>
      <xdr:rowOff>122208</xdr:rowOff>
    </xdr:from>
    <xdr:to>
      <xdr:col>7</xdr:col>
      <xdr:colOff>7188</xdr:colOff>
      <xdr:row>13</xdr:row>
      <xdr:rowOff>50321</xdr:rowOff>
    </xdr:to>
    <xdr:sp macro="" textlink="">
      <xdr:nvSpPr>
        <xdr:cNvPr id="100" name="TextBox 99">
          <a:extLst>
            <a:ext uri="{FF2B5EF4-FFF2-40B4-BE49-F238E27FC236}">
              <a16:creationId xmlns:a16="http://schemas.microsoft.com/office/drawing/2014/main" id="{113DB9FE-ADFB-F2C3-932B-10F32C479B41}"/>
            </a:ext>
          </a:extLst>
        </xdr:cNvPr>
        <xdr:cNvSpPr txBox="1"/>
      </xdr:nvSpPr>
      <xdr:spPr>
        <a:xfrm>
          <a:off x="2551981" y="1919378"/>
          <a:ext cx="1732471" cy="46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chemeClr val="bg1"/>
              </a:solidFill>
              <a:latin typeface="Sagona Book" panose="02020503050505020204" pitchFamily="18" charset="0"/>
              <a:ea typeface="+mn-ea"/>
              <a:cs typeface="+mn-cs"/>
            </a:rPr>
            <a:t>Total Employees</a:t>
          </a:r>
        </a:p>
      </xdr:txBody>
    </xdr:sp>
    <xdr:clientData/>
  </xdr:twoCellAnchor>
  <xdr:twoCellAnchor>
    <xdr:from>
      <xdr:col>4</xdr:col>
      <xdr:colOff>256128</xdr:colOff>
      <xdr:row>6</xdr:row>
      <xdr:rowOff>172263</xdr:rowOff>
    </xdr:from>
    <xdr:to>
      <xdr:col>6</xdr:col>
      <xdr:colOff>500943</xdr:colOff>
      <xdr:row>9</xdr:row>
      <xdr:rowOff>91722</xdr:rowOff>
    </xdr:to>
    <xdr:sp macro="" textlink="">
      <xdr:nvSpPr>
        <xdr:cNvPr id="101" name="TextBox 100">
          <a:extLst>
            <a:ext uri="{FF2B5EF4-FFF2-40B4-BE49-F238E27FC236}">
              <a16:creationId xmlns:a16="http://schemas.microsoft.com/office/drawing/2014/main" id="{5B2D9029-74F5-B6CF-2514-6372C54B029D}"/>
            </a:ext>
          </a:extLst>
        </xdr:cNvPr>
        <xdr:cNvSpPr txBox="1"/>
      </xdr:nvSpPr>
      <xdr:spPr>
        <a:xfrm>
          <a:off x="2683239" y="1272930"/>
          <a:ext cx="1458371" cy="469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rgbClr val="E5B244"/>
              </a:solidFill>
              <a:latin typeface="Sagona Book" panose="02020503050505020204" pitchFamily="18" charset="0"/>
              <a:ea typeface="+mn-ea"/>
              <a:cs typeface="+mn-cs"/>
            </a:rPr>
            <a:t>Employees Number</a:t>
          </a:r>
        </a:p>
      </xdr:txBody>
    </xdr:sp>
    <xdr:clientData/>
  </xdr:twoCellAnchor>
  <xdr:twoCellAnchor>
    <xdr:from>
      <xdr:col>6</xdr:col>
      <xdr:colOff>165340</xdr:colOff>
      <xdr:row>7</xdr:row>
      <xdr:rowOff>43131</xdr:rowOff>
    </xdr:from>
    <xdr:to>
      <xdr:col>7</xdr:col>
      <xdr:colOff>575570</xdr:colOff>
      <xdr:row>11</xdr:row>
      <xdr:rowOff>115493</xdr:rowOff>
    </xdr:to>
    <xdr:grpSp>
      <xdr:nvGrpSpPr>
        <xdr:cNvPr id="109" name="Group 108">
          <a:extLst>
            <a:ext uri="{FF2B5EF4-FFF2-40B4-BE49-F238E27FC236}">
              <a16:creationId xmlns:a16="http://schemas.microsoft.com/office/drawing/2014/main" id="{34092DA3-1425-B475-964E-556134B061A6}"/>
            </a:ext>
          </a:extLst>
        </xdr:cNvPr>
        <xdr:cNvGrpSpPr/>
      </xdr:nvGrpSpPr>
      <xdr:grpSpPr>
        <a:xfrm>
          <a:off x="3845242" y="1344107"/>
          <a:ext cx="1023548" cy="815776"/>
          <a:chOff x="11207150" y="3184584"/>
          <a:chExt cx="1121910" cy="848740"/>
        </a:xfrm>
      </xdr:grpSpPr>
      <xdr:pic>
        <xdr:nvPicPr>
          <xdr:cNvPr id="107" name="Graphic 106" descr="Office worker male outline">
            <a:extLst>
              <a:ext uri="{FF2B5EF4-FFF2-40B4-BE49-F238E27FC236}">
                <a16:creationId xmlns:a16="http://schemas.microsoft.com/office/drawing/2014/main" id="{01239389-2E9D-B353-01C1-7CACDF0B3A4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408435" y="3184584"/>
            <a:ext cx="675250" cy="675250"/>
          </a:xfrm>
          <a:prstGeom prst="rect">
            <a:avLst/>
          </a:prstGeom>
        </xdr:spPr>
      </xdr:pic>
      <xdr:pic>
        <xdr:nvPicPr>
          <xdr:cNvPr id="103" name="Graphic 102" descr="Office worker male with solid fill">
            <a:extLst>
              <a:ext uri="{FF2B5EF4-FFF2-40B4-BE49-F238E27FC236}">
                <a16:creationId xmlns:a16="http://schemas.microsoft.com/office/drawing/2014/main" id="{D74327A6-725E-B329-25F0-E1034936629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207150" y="3371490"/>
            <a:ext cx="626853" cy="654170"/>
          </a:xfrm>
          <a:prstGeom prst="rect">
            <a:avLst/>
          </a:prstGeom>
        </xdr:spPr>
      </xdr:pic>
      <xdr:pic>
        <xdr:nvPicPr>
          <xdr:cNvPr id="105" name="Graphic 104" descr="Office worker female with solid fill">
            <a:extLst>
              <a:ext uri="{FF2B5EF4-FFF2-40B4-BE49-F238E27FC236}">
                <a16:creationId xmlns:a16="http://schemas.microsoft.com/office/drawing/2014/main" id="{E2BBB4D7-C777-45C0-8D5A-2646C53F43F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03169" y="3407433"/>
            <a:ext cx="625891" cy="625891"/>
          </a:xfrm>
          <a:prstGeom prst="rect">
            <a:avLst/>
          </a:prstGeom>
        </xdr:spPr>
      </xdr:pic>
    </xdr:grpSp>
    <xdr:clientData/>
  </xdr:twoCellAnchor>
  <xdr:twoCellAnchor>
    <xdr:from>
      <xdr:col>4</xdr:col>
      <xdr:colOff>57510</xdr:colOff>
      <xdr:row>13</xdr:row>
      <xdr:rowOff>158150</xdr:rowOff>
    </xdr:from>
    <xdr:to>
      <xdr:col>5</xdr:col>
      <xdr:colOff>129396</xdr:colOff>
      <xdr:row>15</xdr:row>
      <xdr:rowOff>28754</xdr:rowOff>
    </xdr:to>
    <xdr:sp macro="" textlink="">
      <xdr:nvSpPr>
        <xdr:cNvPr id="110" name="TextBox 109">
          <a:extLst>
            <a:ext uri="{FF2B5EF4-FFF2-40B4-BE49-F238E27FC236}">
              <a16:creationId xmlns:a16="http://schemas.microsoft.com/office/drawing/2014/main" id="{E1FFE835-6B13-AA33-114B-624186D5843A}"/>
            </a:ext>
          </a:extLst>
        </xdr:cNvPr>
        <xdr:cNvSpPr txBox="1"/>
      </xdr:nvSpPr>
      <xdr:spPr>
        <a:xfrm>
          <a:off x="2501661" y="2494471"/>
          <a:ext cx="682924" cy="23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rgbClr val="E5B244"/>
              </a:solidFill>
              <a:latin typeface="Sagona Book" panose="02020503050505020204" pitchFamily="18" charset="0"/>
              <a:ea typeface="+mn-ea"/>
              <a:cs typeface="+mn-cs"/>
            </a:rPr>
            <a:t>Males</a:t>
          </a:r>
        </a:p>
        <a:p>
          <a:endParaRPr lang="en-GB" sz="1100"/>
        </a:p>
      </xdr:txBody>
    </xdr:sp>
    <xdr:clientData/>
  </xdr:twoCellAnchor>
  <xdr:twoCellAnchor>
    <xdr:from>
      <xdr:col>6</xdr:col>
      <xdr:colOff>215661</xdr:colOff>
      <xdr:row>13</xdr:row>
      <xdr:rowOff>100642</xdr:rowOff>
    </xdr:from>
    <xdr:to>
      <xdr:col>7</xdr:col>
      <xdr:colOff>309113</xdr:colOff>
      <xdr:row>15</xdr:row>
      <xdr:rowOff>35944</xdr:rowOff>
    </xdr:to>
    <xdr:sp macro="" textlink="">
      <xdr:nvSpPr>
        <xdr:cNvPr id="113" name="TextBox 112">
          <a:extLst>
            <a:ext uri="{FF2B5EF4-FFF2-40B4-BE49-F238E27FC236}">
              <a16:creationId xmlns:a16="http://schemas.microsoft.com/office/drawing/2014/main" id="{DE32B7F7-0C11-D89F-9C6D-4C00332758B8}"/>
            </a:ext>
          </a:extLst>
        </xdr:cNvPr>
        <xdr:cNvSpPr txBox="1"/>
      </xdr:nvSpPr>
      <xdr:spPr>
        <a:xfrm>
          <a:off x="3881887" y="2436963"/>
          <a:ext cx="704490"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rgbClr val="E5B244"/>
              </a:solidFill>
              <a:latin typeface="Sagona Book" panose="02020503050505020204" pitchFamily="18" charset="0"/>
              <a:ea typeface="+mn-ea"/>
              <a:cs typeface="+mn-cs"/>
            </a:rPr>
            <a:t>Females</a:t>
          </a:r>
        </a:p>
      </xdr:txBody>
    </xdr:sp>
    <xdr:clientData/>
  </xdr:twoCellAnchor>
  <xdr:twoCellAnchor>
    <xdr:from>
      <xdr:col>6</xdr:col>
      <xdr:colOff>265982</xdr:colOff>
      <xdr:row>15</xdr:row>
      <xdr:rowOff>28756</xdr:rowOff>
    </xdr:from>
    <xdr:to>
      <xdr:col>8</xdr:col>
      <xdr:colOff>86264</xdr:colOff>
      <xdr:row>19</xdr:row>
      <xdr:rowOff>7190</xdr:rowOff>
    </xdr:to>
    <xdr:graphicFrame macro="">
      <xdr:nvGraphicFramePr>
        <xdr:cNvPr id="115" name="Chart 114">
          <a:extLst>
            <a:ext uri="{FF2B5EF4-FFF2-40B4-BE49-F238E27FC236}">
              <a16:creationId xmlns:a16="http://schemas.microsoft.com/office/drawing/2014/main" id="{EF30A5D7-85BD-4A71-97A1-704BA6D2D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129396</xdr:colOff>
      <xdr:row>15</xdr:row>
      <xdr:rowOff>21565</xdr:rowOff>
    </xdr:from>
    <xdr:to>
      <xdr:col>5</xdr:col>
      <xdr:colOff>438509</xdr:colOff>
      <xdr:row>19</xdr:row>
      <xdr:rowOff>21566</xdr:rowOff>
    </xdr:to>
    <xdr:graphicFrame macro="">
      <xdr:nvGraphicFramePr>
        <xdr:cNvPr id="117" name="Chart 116">
          <a:extLst>
            <a:ext uri="{FF2B5EF4-FFF2-40B4-BE49-F238E27FC236}">
              <a16:creationId xmlns:a16="http://schemas.microsoft.com/office/drawing/2014/main" id="{2A30C3A5-C268-4C87-8486-669FF0AAB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416941</xdr:colOff>
      <xdr:row>16</xdr:row>
      <xdr:rowOff>28756</xdr:rowOff>
    </xdr:from>
    <xdr:to>
      <xdr:col>7</xdr:col>
      <xdr:colOff>488827</xdr:colOff>
      <xdr:row>18</xdr:row>
      <xdr:rowOff>7189</xdr:rowOff>
    </xdr:to>
    <xdr:sp macro="" textlink="pivotTables!K18">
      <xdr:nvSpPr>
        <xdr:cNvPr id="118" name="TextBox 117">
          <a:extLst>
            <a:ext uri="{FF2B5EF4-FFF2-40B4-BE49-F238E27FC236}">
              <a16:creationId xmlns:a16="http://schemas.microsoft.com/office/drawing/2014/main" id="{18A96829-5A62-7969-AD50-875939CCC281}"/>
            </a:ext>
          </a:extLst>
        </xdr:cNvPr>
        <xdr:cNvSpPr txBox="1"/>
      </xdr:nvSpPr>
      <xdr:spPr>
        <a:xfrm>
          <a:off x="4083167" y="2904228"/>
          <a:ext cx="682924" cy="33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335E77-45A4-4F76-812D-4D1B7CA5842B}" type="TxLink">
            <a:rPr lang="en-US" sz="1400" b="1" i="0" u="none" strike="noStrike">
              <a:solidFill>
                <a:schemeClr val="bg1"/>
              </a:solidFill>
              <a:latin typeface="Aptos Narrow"/>
              <a:ea typeface="+mn-ea"/>
              <a:cs typeface="+mn-cs"/>
            </a:rPr>
            <a:pPr marL="0" indent="0"/>
            <a:t>45%</a:t>
          </a:fld>
          <a:endParaRPr lang="en-GB" sz="1400" b="1" i="0" u="none" strike="noStrike">
            <a:solidFill>
              <a:schemeClr val="bg1"/>
            </a:solidFill>
            <a:latin typeface="Aptos Narrow"/>
            <a:ea typeface="+mn-ea"/>
            <a:cs typeface="+mn-cs"/>
          </a:endParaRPr>
        </a:p>
      </xdr:txBody>
    </xdr:sp>
    <xdr:clientData/>
  </xdr:twoCellAnchor>
  <xdr:twoCellAnchor>
    <xdr:from>
      <xdr:col>4</xdr:col>
      <xdr:colOff>330678</xdr:colOff>
      <xdr:row>16</xdr:row>
      <xdr:rowOff>35943</xdr:rowOff>
    </xdr:from>
    <xdr:to>
      <xdr:col>5</xdr:col>
      <xdr:colOff>244415</xdr:colOff>
      <xdr:row>17</xdr:row>
      <xdr:rowOff>172528</xdr:rowOff>
    </xdr:to>
    <xdr:sp macro="" textlink="pivotTables!K19">
      <xdr:nvSpPr>
        <xdr:cNvPr id="119" name="TextBox 118">
          <a:extLst>
            <a:ext uri="{FF2B5EF4-FFF2-40B4-BE49-F238E27FC236}">
              <a16:creationId xmlns:a16="http://schemas.microsoft.com/office/drawing/2014/main" id="{F8D10FF9-E5F8-71F9-BFA4-01EEDD3726CE}"/>
            </a:ext>
          </a:extLst>
        </xdr:cNvPr>
        <xdr:cNvSpPr txBox="1"/>
      </xdr:nvSpPr>
      <xdr:spPr>
        <a:xfrm>
          <a:off x="2774829" y="2911415"/>
          <a:ext cx="524775" cy="31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4CE8E6-9B68-44D9-AF9B-F60E5EA0D849}" type="TxLink">
            <a:rPr lang="en-US" sz="1400" b="1" i="0" u="none" strike="noStrike">
              <a:solidFill>
                <a:schemeClr val="bg1"/>
              </a:solidFill>
              <a:latin typeface="Aptos Narrow"/>
              <a:ea typeface="+mn-ea"/>
              <a:cs typeface="+mn-cs"/>
            </a:rPr>
            <a:pPr marL="0" indent="0"/>
            <a:t>55%</a:t>
          </a:fld>
          <a:endParaRPr lang="en-GB" sz="1400" b="1" i="0" u="none" strike="noStrike">
            <a:solidFill>
              <a:schemeClr val="bg1"/>
            </a:solidFill>
            <a:latin typeface="Aptos Narrow"/>
            <a:ea typeface="+mn-ea"/>
            <a:cs typeface="+mn-cs"/>
          </a:endParaRPr>
        </a:p>
      </xdr:txBody>
    </xdr:sp>
    <xdr:clientData/>
  </xdr:twoCellAnchor>
  <xdr:twoCellAnchor>
    <xdr:from>
      <xdr:col>8</xdr:col>
      <xdr:colOff>409755</xdr:colOff>
      <xdr:row>8</xdr:row>
      <xdr:rowOff>64698</xdr:rowOff>
    </xdr:from>
    <xdr:to>
      <xdr:col>12</xdr:col>
      <xdr:colOff>143773</xdr:colOff>
      <xdr:row>16</xdr:row>
      <xdr:rowOff>50320</xdr:rowOff>
    </xdr:to>
    <xdr:graphicFrame macro="">
      <xdr:nvGraphicFramePr>
        <xdr:cNvPr id="120" name="Chart 119">
          <a:extLst>
            <a:ext uri="{FF2B5EF4-FFF2-40B4-BE49-F238E27FC236}">
              <a16:creationId xmlns:a16="http://schemas.microsoft.com/office/drawing/2014/main" id="{F14088C6-9601-4A6C-9EB9-17BAAABE1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8</xdr:col>
      <xdr:colOff>467625</xdr:colOff>
      <xdr:row>15</xdr:row>
      <xdr:rowOff>179716</xdr:rowOff>
    </xdr:from>
    <xdr:to>
      <xdr:col>9</xdr:col>
      <xdr:colOff>458813</xdr:colOff>
      <xdr:row>17</xdr:row>
      <xdr:rowOff>51537</xdr:rowOff>
    </xdr:to>
    <xdr:pic>
      <xdr:nvPicPr>
        <xdr:cNvPr id="77" name="Picture 76">
          <a:extLst>
            <a:ext uri="{FF2B5EF4-FFF2-40B4-BE49-F238E27FC236}">
              <a16:creationId xmlns:a16="http://schemas.microsoft.com/office/drawing/2014/main" id="{A89F78D7-C357-4780-2167-8D010DBB7BCD}"/>
            </a:ext>
          </a:extLst>
        </xdr:cNvPr>
        <xdr:cNvPicPr>
          <a:picLocks noChangeAspect="1"/>
        </xdr:cNvPicPr>
      </xdr:nvPicPr>
      <xdr:blipFill>
        <a:blip xmlns:r="http://schemas.openxmlformats.org/officeDocument/2006/relationships" r:embed="rId18"/>
        <a:stretch>
          <a:fillRect/>
        </a:stretch>
      </xdr:blipFill>
      <xdr:spPr>
        <a:xfrm>
          <a:off x="5355927" y="2875471"/>
          <a:ext cx="602226" cy="231255"/>
        </a:xfrm>
        <a:prstGeom prst="rect">
          <a:avLst/>
        </a:prstGeom>
      </xdr:spPr>
    </xdr:pic>
    <xdr:clientData/>
  </xdr:twoCellAnchor>
  <xdr:twoCellAnchor>
    <xdr:from>
      <xdr:col>9</xdr:col>
      <xdr:colOff>428998</xdr:colOff>
      <xdr:row>16</xdr:row>
      <xdr:rowOff>45454</xdr:rowOff>
    </xdr:from>
    <xdr:to>
      <xdr:col>9</xdr:col>
      <xdr:colOff>540144</xdr:colOff>
      <xdr:row>16</xdr:row>
      <xdr:rowOff>151956</xdr:rowOff>
    </xdr:to>
    <xdr:sp macro="" textlink="">
      <xdr:nvSpPr>
        <xdr:cNvPr id="79" name="Oval 78">
          <a:extLst>
            <a:ext uri="{FF2B5EF4-FFF2-40B4-BE49-F238E27FC236}">
              <a16:creationId xmlns:a16="http://schemas.microsoft.com/office/drawing/2014/main" id="{730A2447-E5C6-4BD4-9D6B-D3844237D156}"/>
            </a:ext>
          </a:extLst>
        </xdr:cNvPr>
        <xdr:cNvSpPr/>
      </xdr:nvSpPr>
      <xdr:spPr>
        <a:xfrm rot="4844482">
          <a:off x="5930660" y="2918604"/>
          <a:ext cx="106502" cy="111146"/>
        </a:xfrm>
        <a:prstGeom prst="ellipse">
          <a:avLst/>
        </a:prstGeom>
        <a:solidFill>
          <a:srgbClr val="E5B244"/>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497262</xdr:colOff>
      <xdr:row>15</xdr:row>
      <xdr:rowOff>165340</xdr:rowOff>
    </xdr:from>
    <xdr:to>
      <xdr:col>10</xdr:col>
      <xdr:colOff>561818</xdr:colOff>
      <xdr:row>17</xdr:row>
      <xdr:rowOff>44350</xdr:rowOff>
    </xdr:to>
    <xdr:pic>
      <xdr:nvPicPr>
        <xdr:cNvPr id="80" name="Picture 79">
          <a:extLst>
            <a:ext uri="{FF2B5EF4-FFF2-40B4-BE49-F238E27FC236}">
              <a16:creationId xmlns:a16="http://schemas.microsoft.com/office/drawing/2014/main" id="{DC0A3828-5065-4131-0C55-FAE752CFF953}"/>
            </a:ext>
          </a:extLst>
        </xdr:cNvPr>
        <xdr:cNvPicPr>
          <a:picLocks noChangeAspect="1"/>
        </xdr:cNvPicPr>
      </xdr:nvPicPr>
      <xdr:blipFill>
        <a:blip xmlns:r="http://schemas.openxmlformats.org/officeDocument/2006/relationships" r:embed="rId19"/>
        <a:stretch>
          <a:fillRect/>
        </a:stretch>
      </xdr:blipFill>
      <xdr:spPr>
        <a:xfrm>
          <a:off x="5996602" y="2861095"/>
          <a:ext cx="675593" cy="238444"/>
        </a:xfrm>
        <a:prstGeom prst="rect">
          <a:avLst/>
        </a:prstGeom>
      </xdr:spPr>
    </xdr:pic>
    <xdr:clientData/>
  </xdr:twoCellAnchor>
  <xdr:twoCellAnchor editAs="oneCell">
    <xdr:from>
      <xdr:col>10</xdr:col>
      <xdr:colOff>596661</xdr:colOff>
      <xdr:row>15</xdr:row>
      <xdr:rowOff>157427</xdr:rowOff>
    </xdr:from>
    <xdr:to>
      <xdr:col>12</xdr:col>
      <xdr:colOff>362346</xdr:colOff>
      <xdr:row>17</xdr:row>
      <xdr:rowOff>51535</xdr:rowOff>
    </xdr:to>
    <xdr:pic>
      <xdr:nvPicPr>
        <xdr:cNvPr id="82" name="Picture 81">
          <a:extLst>
            <a:ext uri="{FF2B5EF4-FFF2-40B4-BE49-F238E27FC236}">
              <a16:creationId xmlns:a16="http://schemas.microsoft.com/office/drawing/2014/main" id="{613AC651-E8CA-1F0D-61B3-F4DED93ABCB5}"/>
            </a:ext>
          </a:extLst>
        </xdr:cNvPr>
        <xdr:cNvPicPr>
          <a:picLocks noChangeAspect="1"/>
        </xdr:cNvPicPr>
      </xdr:nvPicPr>
      <xdr:blipFill>
        <a:blip xmlns:r="http://schemas.openxmlformats.org/officeDocument/2006/relationships" r:embed="rId20"/>
        <a:stretch>
          <a:fillRect/>
        </a:stretch>
      </xdr:blipFill>
      <xdr:spPr>
        <a:xfrm>
          <a:off x="6707038" y="2853182"/>
          <a:ext cx="987761" cy="253542"/>
        </a:xfrm>
        <a:prstGeom prst="rect">
          <a:avLst/>
        </a:prstGeom>
      </xdr:spPr>
    </xdr:pic>
    <xdr:clientData/>
  </xdr:twoCellAnchor>
  <xdr:twoCellAnchor editAs="oneCell">
    <xdr:from>
      <xdr:col>9</xdr:col>
      <xdr:colOff>165339</xdr:colOff>
      <xdr:row>17</xdr:row>
      <xdr:rowOff>21189</xdr:rowOff>
    </xdr:from>
    <xdr:to>
      <xdr:col>10</xdr:col>
      <xdr:colOff>412765</xdr:colOff>
      <xdr:row>18</xdr:row>
      <xdr:rowOff>109045</xdr:rowOff>
    </xdr:to>
    <xdr:pic>
      <xdr:nvPicPr>
        <xdr:cNvPr id="84" name="Picture 83">
          <a:extLst>
            <a:ext uri="{FF2B5EF4-FFF2-40B4-BE49-F238E27FC236}">
              <a16:creationId xmlns:a16="http://schemas.microsoft.com/office/drawing/2014/main" id="{B0A355EC-2985-BBB3-178E-DD9FDAF66484}"/>
            </a:ext>
          </a:extLst>
        </xdr:cNvPr>
        <xdr:cNvPicPr>
          <a:picLocks noChangeAspect="1"/>
        </xdr:cNvPicPr>
      </xdr:nvPicPr>
      <xdr:blipFill>
        <a:blip xmlns:r="http://schemas.openxmlformats.org/officeDocument/2006/relationships" r:embed="rId21"/>
        <a:stretch>
          <a:fillRect/>
        </a:stretch>
      </xdr:blipFill>
      <xdr:spPr>
        <a:xfrm>
          <a:off x="5664679" y="3076378"/>
          <a:ext cx="858463" cy="267573"/>
        </a:xfrm>
        <a:prstGeom prst="rect">
          <a:avLst/>
        </a:prstGeom>
      </xdr:spPr>
    </xdr:pic>
    <xdr:clientData/>
  </xdr:twoCellAnchor>
  <xdr:twoCellAnchor editAs="oneCell">
    <xdr:from>
      <xdr:col>10</xdr:col>
      <xdr:colOff>467265</xdr:colOff>
      <xdr:row>17</xdr:row>
      <xdr:rowOff>14719</xdr:rowOff>
    </xdr:from>
    <xdr:to>
      <xdr:col>11</xdr:col>
      <xdr:colOff>602768</xdr:colOff>
      <xdr:row>18</xdr:row>
      <xdr:rowOff>94668</xdr:rowOff>
    </xdr:to>
    <xdr:pic>
      <xdr:nvPicPr>
        <xdr:cNvPr id="85" name="Picture 84">
          <a:extLst>
            <a:ext uri="{FF2B5EF4-FFF2-40B4-BE49-F238E27FC236}">
              <a16:creationId xmlns:a16="http://schemas.microsoft.com/office/drawing/2014/main" id="{7D4C8C49-CEDC-F842-7BBE-A29824F52FB0}"/>
            </a:ext>
          </a:extLst>
        </xdr:cNvPr>
        <xdr:cNvPicPr>
          <a:picLocks noChangeAspect="1"/>
        </xdr:cNvPicPr>
      </xdr:nvPicPr>
      <xdr:blipFill>
        <a:blip xmlns:r="http://schemas.openxmlformats.org/officeDocument/2006/relationships" r:embed="rId22"/>
        <a:stretch>
          <a:fillRect/>
        </a:stretch>
      </xdr:blipFill>
      <xdr:spPr>
        <a:xfrm>
          <a:off x="6577642" y="3069908"/>
          <a:ext cx="746541" cy="259666"/>
        </a:xfrm>
        <a:prstGeom prst="rect">
          <a:avLst/>
        </a:prstGeom>
      </xdr:spPr>
    </xdr:pic>
    <xdr:clientData/>
  </xdr:twoCellAnchor>
  <xdr:twoCellAnchor>
    <xdr:from>
      <xdr:col>8</xdr:col>
      <xdr:colOff>395377</xdr:colOff>
      <xdr:row>16</xdr:row>
      <xdr:rowOff>64698</xdr:rowOff>
    </xdr:from>
    <xdr:to>
      <xdr:col>8</xdr:col>
      <xdr:colOff>471799</xdr:colOff>
      <xdr:row>16</xdr:row>
      <xdr:rowOff>157596</xdr:rowOff>
    </xdr:to>
    <xdr:sp macro="" textlink="">
      <xdr:nvSpPr>
        <xdr:cNvPr id="86" name="Oval 85">
          <a:extLst>
            <a:ext uri="{FF2B5EF4-FFF2-40B4-BE49-F238E27FC236}">
              <a16:creationId xmlns:a16="http://schemas.microsoft.com/office/drawing/2014/main" id="{CC93F474-AC28-46E8-849D-4D74B177FB88}"/>
            </a:ext>
          </a:extLst>
        </xdr:cNvPr>
        <xdr:cNvSpPr/>
      </xdr:nvSpPr>
      <xdr:spPr>
        <a:xfrm>
          <a:off x="5283679" y="2940170"/>
          <a:ext cx="76422" cy="92898"/>
        </a:xfrm>
        <a:prstGeom prst="ellipse">
          <a:avLst/>
        </a:prstGeom>
        <a:solidFill>
          <a:srgbClr val="77933C"/>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516258</xdr:colOff>
      <xdr:row>16</xdr:row>
      <xdr:rowOff>17697</xdr:rowOff>
    </xdr:from>
    <xdr:to>
      <xdr:col>11</xdr:col>
      <xdr:colOff>11722</xdr:colOff>
      <xdr:row>16</xdr:row>
      <xdr:rowOff>128843</xdr:rowOff>
    </xdr:to>
    <xdr:sp macro="" textlink="">
      <xdr:nvSpPr>
        <xdr:cNvPr id="87" name="Oval 86">
          <a:extLst>
            <a:ext uri="{FF2B5EF4-FFF2-40B4-BE49-F238E27FC236}">
              <a16:creationId xmlns:a16="http://schemas.microsoft.com/office/drawing/2014/main" id="{1E725121-52B2-4BDF-9626-5F00E8F2C927}"/>
            </a:ext>
          </a:extLst>
        </xdr:cNvPr>
        <xdr:cNvSpPr/>
      </xdr:nvSpPr>
      <xdr:spPr>
        <a:xfrm>
          <a:off x="6626635" y="2893169"/>
          <a:ext cx="106502" cy="111146"/>
        </a:xfrm>
        <a:prstGeom prst="ellipse">
          <a:avLst/>
        </a:prstGeom>
        <a:solidFill>
          <a:srgbClr val="E5B244"/>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70559</xdr:colOff>
      <xdr:row>17</xdr:row>
      <xdr:rowOff>89582</xdr:rowOff>
    </xdr:from>
    <xdr:to>
      <xdr:col>9</xdr:col>
      <xdr:colOff>177061</xdr:colOff>
      <xdr:row>18</xdr:row>
      <xdr:rowOff>21011</xdr:rowOff>
    </xdr:to>
    <xdr:sp macro="" textlink="">
      <xdr:nvSpPr>
        <xdr:cNvPr id="88" name="Oval 87">
          <a:extLst>
            <a:ext uri="{FF2B5EF4-FFF2-40B4-BE49-F238E27FC236}">
              <a16:creationId xmlns:a16="http://schemas.microsoft.com/office/drawing/2014/main" id="{E6F1836F-7798-4627-AB5F-4598ECBEF94D}"/>
            </a:ext>
          </a:extLst>
        </xdr:cNvPr>
        <xdr:cNvSpPr/>
      </xdr:nvSpPr>
      <xdr:spPr>
        <a:xfrm>
          <a:off x="5569899" y="3144771"/>
          <a:ext cx="106502" cy="111146"/>
        </a:xfrm>
        <a:prstGeom prst="ellipse">
          <a:avLst/>
        </a:prstGeom>
        <a:solidFill>
          <a:srgbClr val="948A54"/>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365296</xdr:colOff>
      <xdr:row>17</xdr:row>
      <xdr:rowOff>89582</xdr:rowOff>
    </xdr:from>
    <xdr:to>
      <xdr:col>10</xdr:col>
      <xdr:colOff>471798</xdr:colOff>
      <xdr:row>18</xdr:row>
      <xdr:rowOff>21011</xdr:rowOff>
    </xdr:to>
    <xdr:sp macro="" textlink="">
      <xdr:nvSpPr>
        <xdr:cNvPr id="90" name="Oval 89">
          <a:extLst>
            <a:ext uri="{FF2B5EF4-FFF2-40B4-BE49-F238E27FC236}">
              <a16:creationId xmlns:a16="http://schemas.microsoft.com/office/drawing/2014/main" id="{306AEE02-8EC6-4BF7-8961-3D73A4187E5E}"/>
            </a:ext>
          </a:extLst>
        </xdr:cNvPr>
        <xdr:cNvSpPr/>
      </xdr:nvSpPr>
      <xdr:spPr>
        <a:xfrm>
          <a:off x="6475673" y="3144771"/>
          <a:ext cx="106502" cy="111146"/>
        </a:xfrm>
        <a:prstGeom prst="ellipse">
          <a:avLst/>
        </a:prstGeom>
        <a:solidFill>
          <a:srgbClr val="282828"/>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87861</xdr:colOff>
      <xdr:row>6</xdr:row>
      <xdr:rowOff>64698</xdr:rowOff>
    </xdr:from>
    <xdr:to>
      <xdr:col>11</xdr:col>
      <xdr:colOff>30352</xdr:colOff>
      <xdr:row>8</xdr:row>
      <xdr:rowOff>93453</xdr:rowOff>
    </xdr:to>
    <xdr:sp macro="" textlink="">
      <xdr:nvSpPr>
        <xdr:cNvPr id="104" name="TextBox 103">
          <a:extLst>
            <a:ext uri="{FF2B5EF4-FFF2-40B4-BE49-F238E27FC236}">
              <a16:creationId xmlns:a16="http://schemas.microsoft.com/office/drawing/2014/main" id="{D2E8454C-AD94-3F0F-F8AB-F4C31DA14FFB}"/>
            </a:ext>
          </a:extLst>
        </xdr:cNvPr>
        <xdr:cNvSpPr txBox="1"/>
      </xdr:nvSpPr>
      <xdr:spPr>
        <a:xfrm>
          <a:off x="5548861" y="1165365"/>
          <a:ext cx="1156047" cy="395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rgbClr val="E5B244"/>
              </a:solidFill>
              <a:latin typeface="Sagona Book" panose="02020503050505020204" pitchFamily="18" charset="0"/>
              <a:ea typeface="+mn-ea"/>
              <a:cs typeface="+mn-cs"/>
            </a:rPr>
            <a:t>Leave Tracking</a:t>
          </a:r>
        </a:p>
      </xdr:txBody>
    </xdr:sp>
    <xdr:clientData/>
  </xdr:twoCellAnchor>
  <xdr:twoCellAnchor>
    <xdr:from>
      <xdr:col>8</xdr:col>
      <xdr:colOff>531962</xdr:colOff>
      <xdr:row>7</xdr:row>
      <xdr:rowOff>93453</xdr:rowOff>
    </xdr:from>
    <xdr:to>
      <xdr:col>11</xdr:col>
      <xdr:colOff>337868</xdr:colOff>
      <xdr:row>9</xdr:row>
      <xdr:rowOff>28755</xdr:rowOff>
    </xdr:to>
    <xdr:sp macro="" textlink="">
      <xdr:nvSpPr>
        <xdr:cNvPr id="106" name="TextBox 105">
          <a:extLst>
            <a:ext uri="{FF2B5EF4-FFF2-40B4-BE49-F238E27FC236}">
              <a16:creationId xmlns:a16="http://schemas.microsoft.com/office/drawing/2014/main" id="{CEB33B0A-44AE-B70A-4175-D1594039645C}"/>
            </a:ext>
          </a:extLst>
        </xdr:cNvPr>
        <xdr:cNvSpPr txBox="1"/>
      </xdr:nvSpPr>
      <xdr:spPr>
        <a:xfrm>
          <a:off x="5420264" y="1351472"/>
          <a:ext cx="1639019"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800">
              <a:solidFill>
                <a:schemeClr val="tx1">
                  <a:lumMod val="50000"/>
                  <a:lumOff val="50000"/>
                </a:schemeClr>
              </a:solidFill>
              <a:latin typeface="Sagona Book" panose="02020503050505020204" pitchFamily="18" charset="0"/>
              <a:ea typeface="+mn-ea"/>
              <a:cs typeface="+mn-cs"/>
            </a:rPr>
            <a:t>Leave taken by job title</a:t>
          </a:r>
        </a:p>
        <a:p>
          <a:endParaRPr lang="en-GB" sz="1100"/>
        </a:p>
      </xdr:txBody>
    </xdr:sp>
    <xdr:clientData/>
  </xdr:twoCellAnchor>
  <xdr:twoCellAnchor>
    <xdr:from>
      <xdr:col>12</xdr:col>
      <xdr:colOff>546339</xdr:colOff>
      <xdr:row>9</xdr:row>
      <xdr:rowOff>93452</xdr:rowOff>
    </xdr:from>
    <xdr:to>
      <xdr:col>16</xdr:col>
      <xdr:colOff>569164</xdr:colOff>
      <xdr:row>17</xdr:row>
      <xdr:rowOff>80165</xdr:rowOff>
    </xdr:to>
    <xdr:graphicFrame macro="">
      <xdr:nvGraphicFramePr>
        <xdr:cNvPr id="111" name="Chart 110">
          <a:extLst>
            <a:ext uri="{FF2B5EF4-FFF2-40B4-BE49-F238E27FC236}">
              <a16:creationId xmlns:a16="http://schemas.microsoft.com/office/drawing/2014/main" id="{51E80115-47F6-4550-AA32-A766F28DC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77611</xdr:colOff>
      <xdr:row>8</xdr:row>
      <xdr:rowOff>42865</xdr:rowOff>
    </xdr:from>
    <xdr:to>
      <xdr:col>14</xdr:col>
      <xdr:colOff>178254</xdr:colOff>
      <xdr:row>10</xdr:row>
      <xdr:rowOff>42865</xdr:rowOff>
    </xdr:to>
    <xdr:sp macro="" textlink="">
      <xdr:nvSpPr>
        <xdr:cNvPr id="112" name="TextBox 111">
          <a:extLst>
            <a:ext uri="{FF2B5EF4-FFF2-40B4-BE49-F238E27FC236}">
              <a16:creationId xmlns:a16="http://schemas.microsoft.com/office/drawing/2014/main" id="{FD215F40-726F-A307-F858-AE23C93D9DEB}"/>
            </a:ext>
          </a:extLst>
        </xdr:cNvPr>
        <xdr:cNvSpPr txBox="1"/>
      </xdr:nvSpPr>
      <xdr:spPr>
        <a:xfrm>
          <a:off x="7965722" y="1510421"/>
          <a:ext cx="707421" cy="36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rgbClr val="E5B244"/>
              </a:solidFill>
              <a:latin typeface="Sagona Book" panose="02020503050505020204" pitchFamily="18" charset="0"/>
              <a:ea typeface="+mn-ea"/>
              <a:cs typeface="+mn-cs"/>
            </a:rPr>
            <a:t>Regions</a:t>
          </a:r>
        </a:p>
      </xdr:txBody>
    </xdr:sp>
    <xdr:clientData/>
  </xdr:twoCellAnchor>
  <xdr:twoCellAnchor>
    <xdr:from>
      <xdr:col>12</xdr:col>
      <xdr:colOff>575094</xdr:colOff>
      <xdr:row>9</xdr:row>
      <xdr:rowOff>35944</xdr:rowOff>
    </xdr:from>
    <xdr:to>
      <xdr:col>15</xdr:col>
      <xdr:colOff>244415</xdr:colOff>
      <xdr:row>10</xdr:row>
      <xdr:rowOff>165339</xdr:rowOff>
    </xdr:to>
    <xdr:sp macro="" textlink="">
      <xdr:nvSpPr>
        <xdr:cNvPr id="114" name="TextBox 113">
          <a:extLst>
            <a:ext uri="{FF2B5EF4-FFF2-40B4-BE49-F238E27FC236}">
              <a16:creationId xmlns:a16="http://schemas.microsoft.com/office/drawing/2014/main" id="{611977D1-49B5-6E07-B8A6-F25648C2620B}"/>
            </a:ext>
          </a:extLst>
        </xdr:cNvPr>
        <xdr:cNvSpPr txBox="1"/>
      </xdr:nvSpPr>
      <xdr:spPr>
        <a:xfrm>
          <a:off x="7907547" y="1653397"/>
          <a:ext cx="1502434" cy="309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chemeClr val="tx1">
                  <a:lumMod val="50000"/>
                  <a:lumOff val="50000"/>
                </a:schemeClr>
              </a:solidFill>
              <a:latin typeface="Sagona Book" panose="02020503050505020204" pitchFamily="18" charset="0"/>
              <a:ea typeface="+mn-ea"/>
              <a:cs typeface="+mn-cs"/>
            </a:rPr>
            <a:t>Employees per region</a:t>
          </a:r>
        </a:p>
      </xdr:txBody>
    </xdr:sp>
    <xdr:clientData/>
  </xdr:twoCellAnchor>
  <xdr:twoCellAnchor>
    <xdr:from>
      <xdr:col>12</xdr:col>
      <xdr:colOff>481641</xdr:colOff>
      <xdr:row>2</xdr:row>
      <xdr:rowOff>150962</xdr:rowOff>
    </xdr:from>
    <xdr:to>
      <xdr:col>14</xdr:col>
      <xdr:colOff>115020</xdr:colOff>
      <xdr:row>6</xdr:row>
      <xdr:rowOff>0</xdr:rowOff>
    </xdr:to>
    <xdr:sp macro="" textlink="pivotTables!AB15">
      <xdr:nvSpPr>
        <xdr:cNvPr id="121" name="TextBox 120">
          <a:extLst>
            <a:ext uri="{FF2B5EF4-FFF2-40B4-BE49-F238E27FC236}">
              <a16:creationId xmlns:a16="http://schemas.microsoft.com/office/drawing/2014/main" id="{890FB4F7-D503-428A-AB8A-9E7AD15F32C2}"/>
            </a:ext>
          </a:extLst>
        </xdr:cNvPr>
        <xdr:cNvSpPr txBox="1"/>
      </xdr:nvSpPr>
      <xdr:spPr>
        <a:xfrm>
          <a:off x="7814094" y="510396"/>
          <a:ext cx="855454" cy="56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DC87C685-29B2-4D72-875C-A67BED2DAE83}" type="TxLink">
            <a:rPr lang="en-US" sz="4000" b="1" i="0" u="none" strike="noStrike">
              <a:solidFill>
                <a:schemeClr val="bg1"/>
              </a:solidFill>
              <a:effectLst/>
              <a:latin typeface="Kulim Park"/>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2.3</a:t>
          </a:fld>
          <a:endParaRPr lang="en-GB" sz="4000" b="1" i="0" u="none" strike="noStrike">
            <a:solidFill>
              <a:schemeClr val="bg1"/>
            </a:solidFill>
            <a:effectLst/>
            <a:latin typeface="Kulim Park"/>
            <a:ea typeface="+mn-ea"/>
            <a:cs typeface="+mn-cs"/>
          </a:endParaRPr>
        </a:p>
      </xdr:txBody>
    </xdr:sp>
    <xdr:clientData/>
  </xdr:twoCellAnchor>
  <xdr:twoCellAnchor>
    <xdr:from>
      <xdr:col>12</xdr:col>
      <xdr:colOff>469364</xdr:colOff>
      <xdr:row>4</xdr:row>
      <xdr:rowOff>173635</xdr:rowOff>
    </xdr:from>
    <xdr:to>
      <xdr:col>14</xdr:col>
      <xdr:colOff>438510</xdr:colOff>
      <xdr:row>6</xdr:row>
      <xdr:rowOff>165341</xdr:rowOff>
    </xdr:to>
    <xdr:sp macro="" textlink="">
      <xdr:nvSpPr>
        <xdr:cNvPr id="124" name="TextBox 123">
          <a:extLst>
            <a:ext uri="{FF2B5EF4-FFF2-40B4-BE49-F238E27FC236}">
              <a16:creationId xmlns:a16="http://schemas.microsoft.com/office/drawing/2014/main" id="{F38BE859-F763-4E72-BFF8-78A2A84BB278}"/>
            </a:ext>
          </a:extLst>
        </xdr:cNvPr>
        <xdr:cNvSpPr txBox="1"/>
      </xdr:nvSpPr>
      <xdr:spPr>
        <a:xfrm>
          <a:off x="7801817" y="892503"/>
          <a:ext cx="1191221" cy="351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00">
              <a:solidFill>
                <a:schemeClr val="bg1"/>
              </a:solidFill>
              <a:latin typeface="Sagona Book" panose="02020503050505020204" pitchFamily="18" charset="0"/>
              <a:ea typeface="+mn-ea"/>
              <a:cs typeface="+mn-cs"/>
            </a:rPr>
            <a:t>Average Rating</a:t>
          </a:r>
        </a:p>
      </xdr:txBody>
    </xdr:sp>
    <xdr:clientData/>
  </xdr:twoCellAnchor>
  <xdr:twoCellAnchor>
    <xdr:from>
      <xdr:col>12</xdr:col>
      <xdr:colOff>521046</xdr:colOff>
      <xdr:row>1</xdr:row>
      <xdr:rowOff>156552</xdr:rowOff>
    </xdr:from>
    <xdr:to>
      <xdr:col>15</xdr:col>
      <xdr:colOff>144307</xdr:colOff>
      <xdr:row>3</xdr:row>
      <xdr:rowOff>37807</xdr:rowOff>
    </xdr:to>
    <xdr:sp macro="" textlink="">
      <xdr:nvSpPr>
        <xdr:cNvPr id="126" name="TextBox 125">
          <a:extLst>
            <a:ext uri="{FF2B5EF4-FFF2-40B4-BE49-F238E27FC236}">
              <a16:creationId xmlns:a16="http://schemas.microsoft.com/office/drawing/2014/main" id="{8E74E2B3-2FA1-4348-A253-F8EEBD9747D4}"/>
            </a:ext>
          </a:extLst>
        </xdr:cNvPr>
        <xdr:cNvSpPr txBox="1"/>
      </xdr:nvSpPr>
      <xdr:spPr>
        <a:xfrm>
          <a:off x="7878287" y="340483"/>
          <a:ext cx="1462572" cy="249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00">
              <a:solidFill>
                <a:srgbClr val="E5B244"/>
              </a:solidFill>
              <a:latin typeface="Sagona Book" panose="02020503050505020204" pitchFamily="18" charset="0"/>
              <a:ea typeface="+mn-ea"/>
              <a:cs typeface="+mn-cs"/>
            </a:rPr>
            <a:t>Performance Rating</a:t>
          </a:r>
        </a:p>
      </xdr:txBody>
    </xdr:sp>
    <xdr:clientData/>
  </xdr:twoCellAnchor>
  <xdr:twoCellAnchor>
    <xdr:from>
      <xdr:col>12</xdr:col>
      <xdr:colOff>317500</xdr:colOff>
      <xdr:row>2</xdr:row>
      <xdr:rowOff>70555</xdr:rowOff>
    </xdr:from>
    <xdr:to>
      <xdr:col>15</xdr:col>
      <xdr:colOff>275166</xdr:colOff>
      <xdr:row>4</xdr:row>
      <xdr:rowOff>35278</xdr:rowOff>
    </xdr:to>
    <xdr:sp macro="" textlink="">
      <xdr:nvSpPr>
        <xdr:cNvPr id="128" name="TextBox 127">
          <a:extLst>
            <a:ext uri="{FF2B5EF4-FFF2-40B4-BE49-F238E27FC236}">
              <a16:creationId xmlns:a16="http://schemas.microsoft.com/office/drawing/2014/main" id="{FC27D11A-C07C-4ED4-AF04-62473F8FE16E}"/>
            </a:ext>
          </a:extLst>
        </xdr:cNvPr>
        <xdr:cNvSpPr txBox="1"/>
      </xdr:nvSpPr>
      <xdr:spPr>
        <a:xfrm>
          <a:off x="7598833" y="437444"/>
          <a:ext cx="1778000" cy="331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800">
              <a:solidFill>
                <a:schemeClr val="tx1">
                  <a:lumMod val="50000"/>
                  <a:lumOff val="50000"/>
                </a:schemeClr>
              </a:solidFill>
              <a:latin typeface="Sagona Book" panose="02020503050505020204" pitchFamily="18" charset="0"/>
              <a:ea typeface="+mn-ea"/>
              <a:cs typeface="+mn-cs"/>
            </a:rPr>
            <a:t>Average of Performance Rating</a:t>
          </a:r>
        </a:p>
      </xdr:txBody>
    </xdr:sp>
    <xdr:clientData/>
  </xdr:twoCellAnchor>
  <xdr:twoCellAnchor editAs="oneCell">
    <xdr:from>
      <xdr:col>15</xdr:col>
      <xdr:colOff>273168</xdr:colOff>
      <xdr:row>2</xdr:row>
      <xdr:rowOff>86263</xdr:rowOff>
    </xdr:from>
    <xdr:to>
      <xdr:col>16</xdr:col>
      <xdr:colOff>496019</xdr:colOff>
      <xdr:row>7</xdr:row>
      <xdr:rowOff>21567</xdr:rowOff>
    </xdr:to>
    <xdr:pic>
      <xdr:nvPicPr>
        <xdr:cNvPr id="130" name="Graphic 129" descr="Upward trend outline">
          <a:extLst>
            <a:ext uri="{FF2B5EF4-FFF2-40B4-BE49-F238E27FC236}">
              <a16:creationId xmlns:a16="http://schemas.microsoft.com/office/drawing/2014/main" id="{9FE44834-6E3C-DABB-4DC6-95604964475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438734" y="445697"/>
          <a:ext cx="833889" cy="833889"/>
        </a:xfrm>
        <a:prstGeom prst="rect">
          <a:avLst/>
        </a:prstGeom>
      </xdr:spPr>
    </xdr:pic>
    <xdr:clientData/>
  </xdr:twoCellAnchor>
  <xdr:twoCellAnchor>
    <xdr:from>
      <xdr:col>12</xdr:col>
      <xdr:colOff>422628</xdr:colOff>
      <xdr:row>2</xdr:row>
      <xdr:rowOff>28811</xdr:rowOff>
    </xdr:from>
    <xdr:to>
      <xdr:col>12</xdr:col>
      <xdr:colOff>551282</xdr:colOff>
      <xdr:row>2</xdr:row>
      <xdr:rowOff>147818</xdr:rowOff>
    </xdr:to>
    <xdr:sp macro="" textlink="">
      <xdr:nvSpPr>
        <xdr:cNvPr id="132" name="Oval 131">
          <a:extLst>
            <a:ext uri="{FF2B5EF4-FFF2-40B4-BE49-F238E27FC236}">
              <a16:creationId xmlns:a16="http://schemas.microsoft.com/office/drawing/2014/main" id="{A35BFBBF-DA5A-4307-835F-C719928139F2}"/>
            </a:ext>
          </a:extLst>
        </xdr:cNvPr>
        <xdr:cNvSpPr/>
      </xdr:nvSpPr>
      <xdr:spPr>
        <a:xfrm rot="16039891">
          <a:off x="7784692" y="391850"/>
          <a:ext cx="119007" cy="128654"/>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12</xdr:col>
      <xdr:colOff>612069</xdr:colOff>
      <xdr:row>8</xdr:row>
      <xdr:rowOff>110166</xdr:rowOff>
    </xdr:from>
    <xdr:to>
      <xdr:col>13</xdr:col>
      <xdr:colOff>127619</xdr:colOff>
      <xdr:row>9</xdr:row>
      <xdr:rowOff>45729</xdr:rowOff>
    </xdr:to>
    <xdr:sp macro="" textlink="">
      <xdr:nvSpPr>
        <xdr:cNvPr id="133" name="Oval 132">
          <a:extLst>
            <a:ext uri="{FF2B5EF4-FFF2-40B4-BE49-F238E27FC236}">
              <a16:creationId xmlns:a16="http://schemas.microsoft.com/office/drawing/2014/main" id="{B0FABC40-6FC3-4203-A8F1-8C96C8DAAA30}"/>
            </a:ext>
          </a:extLst>
        </xdr:cNvPr>
        <xdr:cNvSpPr/>
      </xdr:nvSpPr>
      <xdr:spPr>
        <a:xfrm rot="16039891">
          <a:off x="7973890" y="1577034"/>
          <a:ext cx="119494" cy="128654"/>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9</xdr:col>
      <xdr:colOff>36875</xdr:colOff>
      <xdr:row>6</xdr:row>
      <xdr:rowOff>130860</xdr:rowOff>
    </xdr:from>
    <xdr:to>
      <xdr:col>9</xdr:col>
      <xdr:colOff>165529</xdr:colOff>
      <xdr:row>7</xdr:row>
      <xdr:rowOff>66423</xdr:rowOff>
    </xdr:to>
    <xdr:sp macro="" textlink="">
      <xdr:nvSpPr>
        <xdr:cNvPr id="135" name="Oval 134">
          <a:extLst>
            <a:ext uri="{FF2B5EF4-FFF2-40B4-BE49-F238E27FC236}">
              <a16:creationId xmlns:a16="http://schemas.microsoft.com/office/drawing/2014/main" id="{5BC1B96A-EE21-4891-A758-9ADA11B034FC}"/>
            </a:ext>
          </a:extLst>
        </xdr:cNvPr>
        <xdr:cNvSpPr/>
      </xdr:nvSpPr>
      <xdr:spPr>
        <a:xfrm rot="16039891">
          <a:off x="5502698" y="1226704"/>
          <a:ext cx="119007" cy="128654"/>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12</xdr:col>
      <xdr:colOff>409222</xdr:colOff>
      <xdr:row>18</xdr:row>
      <xdr:rowOff>49389</xdr:rowOff>
    </xdr:from>
    <xdr:to>
      <xdr:col>12</xdr:col>
      <xdr:colOff>537876</xdr:colOff>
      <xdr:row>18</xdr:row>
      <xdr:rowOff>168396</xdr:rowOff>
    </xdr:to>
    <xdr:sp macro="" textlink="">
      <xdr:nvSpPr>
        <xdr:cNvPr id="136" name="Oval 135">
          <a:extLst>
            <a:ext uri="{FF2B5EF4-FFF2-40B4-BE49-F238E27FC236}">
              <a16:creationId xmlns:a16="http://schemas.microsoft.com/office/drawing/2014/main" id="{13264DC1-6CDE-4EA3-92BB-2F2A6EA5CCEB}"/>
            </a:ext>
          </a:extLst>
        </xdr:cNvPr>
        <xdr:cNvSpPr/>
      </xdr:nvSpPr>
      <xdr:spPr>
        <a:xfrm rot="16039891">
          <a:off x="7695378" y="3346566"/>
          <a:ext cx="119007" cy="128654"/>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8</xdr:col>
      <xdr:colOff>444602</xdr:colOff>
      <xdr:row>20</xdr:row>
      <xdr:rowOff>175825</xdr:rowOff>
    </xdr:from>
    <xdr:to>
      <xdr:col>8</xdr:col>
      <xdr:colOff>573256</xdr:colOff>
      <xdr:row>21</xdr:row>
      <xdr:rowOff>110901</xdr:rowOff>
    </xdr:to>
    <xdr:sp macro="" textlink="">
      <xdr:nvSpPr>
        <xdr:cNvPr id="137" name="Oval 136">
          <a:extLst>
            <a:ext uri="{FF2B5EF4-FFF2-40B4-BE49-F238E27FC236}">
              <a16:creationId xmlns:a16="http://schemas.microsoft.com/office/drawing/2014/main" id="{E90604C2-113B-4EB7-8D73-F1DEC824531A}"/>
            </a:ext>
          </a:extLst>
        </xdr:cNvPr>
        <xdr:cNvSpPr/>
      </xdr:nvSpPr>
      <xdr:spPr>
        <a:xfrm rot="16039891">
          <a:off x="5354253" y="3849623"/>
          <a:ext cx="119007" cy="128654"/>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4</xdr:col>
      <xdr:colOff>329385</xdr:colOff>
      <xdr:row>20</xdr:row>
      <xdr:rowOff>124948</xdr:rowOff>
    </xdr:from>
    <xdr:to>
      <xdr:col>4</xdr:col>
      <xdr:colOff>458039</xdr:colOff>
      <xdr:row>21</xdr:row>
      <xdr:rowOff>60511</xdr:rowOff>
    </xdr:to>
    <xdr:sp macro="" textlink="">
      <xdr:nvSpPr>
        <xdr:cNvPr id="138" name="Oval 137">
          <a:extLst>
            <a:ext uri="{FF2B5EF4-FFF2-40B4-BE49-F238E27FC236}">
              <a16:creationId xmlns:a16="http://schemas.microsoft.com/office/drawing/2014/main" id="{21E91AF7-09A1-4619-AD1E-845D55DC1666}"/>
            </a:ext>
          </a:extLst>
        </xdr:cNvPr>
        <xdr:cNvSpPr/>
      </xdr:nvSpPr>
      <xdr:spPr>
        <a:xfrm rot="16039891">
          <a:off x="2786379" y="3798989"/>
          <a:ext cx="119494" cy="128654"/>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0</xdr:col>
      <xdr:colOff>186505</xdr:colOff>
      <xdr:row>23</xdr:row>
      <xdr:rowOff>170132</xdr:rowOff>
    </xdr:from>
    <xdr:to>
      <xdr:col>0</xdr:col>
      <xdr:colOff>315159</xdr:colOff>
      <xdr:row>24</xdr:row>
      <xdr:rowOff>105694</xdr:rowOff>
    </xdr:to>
    <xdr:sp macro="" textlink="">
      <xdr:nvSpPr>
        <xdr:cNvPr id="139" name="Oval 138">
          <a:extLst>
            <a:ext uri="{FF2B5EF4-FFF2-40B4-BE49-F238E27FC236}">
              <a16:creationId xmlns:a16="http://schemas.microsoft.com/office/drawing/2014/main" id="{9E577553-243A-4C8D-ABC4-5A4746B2311C}"/>
            </a:ext>
          </a:extLst>
        </xdr:cNvPr>
        <xdr:cNvSpPr/>
      </xdr:nvSpPr>
      <xdr:spPr>
        <a:xfrm rot="16039891">
          <a:off x="191328" y="4384531"/>
          <a:ext cx="119007" cy="128654"/>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4</xdr:col>
      <xdr:colOff>192628</xdr:colOff>
      <xdr:row>7</xdr:row>
      <xdr:rowOff>59375</xdr:rowOff>
    </xdr:from>
    <xdr:to>
      <xdr:col>4</xdr:col>
      <xdr:colOff>321282</xdr:colOff>
      <xdr:row>7</xdr:row>
      <xdr:rowOff>178382</xdr:rowOff>
    </xdr:to>
    <xdr:sp macro="" textlink="">
      <xdr:nvSpPr>
        <xdr:cNvPr id="140" name="Oval 139">
          <a:extLst>
            <a:ext uri="{FF2B5EF4-FFF2-40B4-BE49-F238E27FC236}">
              <a16:creationId xmlns:a16="http://schemas.microsoft.com/office/drawing/2014/main" id="{7253711D-7352-4B59-9108-A151B4FA8547}"/>
            </a:ext>
          </a:extLst>
        </xdr:cNvPr>
        <xdr:cNvSpPr/>
      </xdr:nvSpPr>
      <xdr:spPr>
        <a:xfrm rot="16039891">
          <a:off x="2624562" y="1338663"/>
          <a:ext cx="119007" cy="128654"/>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0</xdr:col>
      <xdr:colOff>52007</xdr:colOff>
      <xdr:row>14</xdr:row>
      <xdr:rowOff>4519</xdr:rowOff>
    </xdr:from>
    <xdr:to>
      <xdr:col>0</xdr:col>
      <xdr:colOff>158287</xdr:colOff>
      <xdr:row>14</xdr:row>
      <xdr:rowOff>119503</xdr:rowOff>
    </xdr:to>
    <xdr:sp macro="" textlink="">
      <xdr:nvSpPr>
        <xdr:cNvPr id="141" name="Oval 140">
          <a:extLst>
            <a:ext uri="{FF2B5EF4-FFF2-40B4-BE49-F238E27FC236}">
              <a16:creationId xmlns:a16="http://schemas.microsoft.com/office/drawing/2014/main" id="{3C0F2E00-009B-4A10-87E0-43F012F67C8E}"/>
            </a:ext>
          </a:extLst>
        </xdr:cNvPr>
        <xdr:cNvSpPr/>
      </xdr:nvSpPr>
      <xdr:spPr>
        <a:xfrm rot="16039891">
          <a:off x="47655" y="2577093"/>
          <a:ext cx="114984" cy="106280"/>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0</xdr:col>
      <xdr:colOff>29556</xdr:colOff>
      <xdr:row>15</xdr:row>
      <xdr:rowOff>100274</xdr:rowOff>
    </xdr:from>
    <xdr:to>
      <xdr:col>0</xdr:col>
      <xdr:colOff>135836</xdr:colOff>
      <xdr:row>16</xdr:row>
      <xdr:rowOff>31814</xdr:rowOff>
    </xdr:to>
    <xdr:sp macro="" textlink="">
      <xdr:nvSpPr>
        <xdr:cNvPr id="142" name="Oval 141">
          <a:extLst>
            <a:ext uri="{FF2B5EF4-FFF2-40B4-BE49-F238E27FC236}">
              <a16:creationId xmlns:a16="http://schemas.microsoft.com/office/drawing/2014/main" id="{2B8DF812-C9EF-43DA-ACF0-3229DE209DD4}"/>
            </a:ext>
          </a:extLst>
        </xdr:cNvPr>
        <xdr:cNvSpPr/>
      </xdr:nvSpPr>
      <xdr:spPr>
        <a:xfrm rot="16039891">
          <a:off x="25204" y="2856293"/>
          <a:ext cx="114984" cy="106280"/>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0</xdr:col>
      <xdr:colOff>65365</xdr:colOff>
      <xdr:row>16</xdr:row>
      <xdr:rowOff>176929</xdr:rowOff>
    </xdr:from>
    <xdr:to>
      <xdr:col>0</xdr:col>
      <xdr:colOff>171645</xdr:colOff>
      <xdr:row>17</xdr:row>
      <xdr:rowOff>108468</xdr:rowOff>
    </xdr:to>
    <xdr:sp macro="" textlink="">
      <xdr:nvSpPr>
        <xdr:cNvPr id="144" name="Oval 143">
          <a:extLst>
            <a:ext uri="{FF2B5EF4-FFF2-40B4-BE49-F238E27FC236}">
              <a16:creationId xmlns:a16="http://schemas.microsoft.com/office/drawing/2014/main" id="{E39BD83A-5E46-4D4D-ACFC-1DF07982EC1C}"/>
            </a:ext>
          </a:extLst>
        </xdr:cNvPr>
        <xdr:cNvSpPr/>
      </xdr:nvSpPr>
      <xdr:spPr>
        <a:xfrm rot="16039891">
          <a:off x="61013" y="3116392"/>
          <a:ext cx="114984" cy="106280"/>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0</xdr:col>
      <xdr:colOff>50855</xdr:colOff>
      <xdr:row>18</xdr:row>
      <xdr:rowOff>56024</xdr:rowOff>
    </xdr:from>
    <xdr:to>
      <xdr:col>0</xdr:col>
      <xdr:colOff>157135</xdr:colOff>
      <xdr:row>18</xdr:row>
      <xdr:rowOff>171008</xdr:rowOff>
    </xdr:to>
    <xdr:sp macro="" textlink="">
      <xdr:nvSpPr>
        <xdr:cNvPr id="146" name="Oval 145">
          <a:extLst>
            <a:ext uri="{FF2B5EF4-FFF2-40B4-BE49-F238E27FC236}">
              <a16:creationId xmlns:a16="http://schemas.microsoft.com/office/drawing/2014/main" id="{913C96B6-58C3-402C-A88B-F4139DF382FD}"/>
            </a:ext>
          </a:extLst>
        </xdr:cNvPr>
        <xdr:cNvSpPr/>
      </xdr:nvSpPr>
      <xdr:spPr>
        <a:xfrm rot="16039891">
          <a:off x="46503" y="3362376"/>
          <a:ext cx="114984" cy="106280"/>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0</xdr:col>
      <xdr:colOff>44064</xdr:colOff>
      <xdr:row>20</xdr:row>
      <xdr:rowOff>14834</xdr:rowOff>
    </xdr:from>
    <xdr:to>
      <xdr:col>0</xdr:col>
      <xdr:colOff>150344</xdr:colOff>
      <xdr:row>20</xdr:row>
      <xdr:rowOff>129818</xdr:rowOff>
    </xdr:to>
    <xdr:sp macro="" textlink="">
      <xdr:nvSpPr>
        <xdr:cNvPr id="147" name="Oval 146">
          <a:extLst>
            <a:ext uri="{FF2B5EF4-FFF2-40B4-BE49-F238E27FC236}">
              <a16:creationId xmlns:a16="http://schemas.microsoft.com/office/drawing/2014/main" id="{9B535E5B-0770-48A3-A943-B405B7712E30}"/>
            </a:ext>
          </a:extLst>
        </xdr:cNvPr>
        <xdr:cNvSpPr/>
      </xdr:nvSpPr>
      <xdr:spPr>
        <a:xfrm rot="16039891">
          <a:off x="39712" y="3688075"/>
          <a:ext cx="114984" cy="106280"/>
        </a:xfrm>
        <a:prstGeom prst="ellipse">
          <a:avLst/>
        </a:prstGeom>
        <a:solidFill>
          <a:schemeClr val="bg1"/>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0</xdr:col>
      <xdr:colOff>140138</xdr:colOff>
      <xdr:row>11</xdr:row>
      <xdr:rowOff>17517</xdr:rowOff>
    </xdr:from>
    <xdr:to>
      <xdr:col>0</xdr:col>
      <xdr:colOff>148896</xdr:colOff>
      <xdr:row>13</xdr:row>
      <xdr:rowOff>87586</xdr:rowOff>
    </xdr:to>
    <xdr:cxnSp macro="">
      <xdr:nvCxnSpPr>
        <xdr:cNvPr id="149" name="Straight Connector 148">
          <a:extLst>
            <a:ext uri="{FF2B5EF4-FFF2-40B4-BE49-F238E27FC236}">
              <a16:creationId xmlns:a16="http://schemas.microsoft.com/office/drawing/2014/main" id="{0DED1CBD-4C11-4358-3E8E-EAA846C51986}"/>
            </a:ext>
          </a:extLst>
        </xdr:cNvPr>
        <xdr:cNvCxnSpPr/>
      </xdr:nvCxnSpPr>
      <xdr:spPr>
        <a:xfrm>
          <a:off x="140138" y="2040758"/>
          <a:ext cx="8758" cy="437931"/>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299785</xdr:colOff>
      <xdr:row>0</xdr:row>
      <xdr:rowOff>69272</xdr:rowOff>
    </xdr:from>
    <xdr:to>
      <xdr:col>3</xdr:col>
      <xdr:colOff>124612</xdr:colOff>
      <xdr:row>2</xdr:row>
      <xdr:rowOff>174375</xdr:rowOff>
    </xdr:to>
    <xdr:sp macro="" textlink="">
      <xdr:nvSpPr>
        <xdr:cNvPr id="153" name="TextBox 152">
          <a:extLst>
            <a:ext uri="{FF2B5EF4-FFF2-40B4-BE49-F238E27FC236}">
              <a16:creationId xmlns:a16="http://schemas.microsoft.com/office/drawing/2014/main" id="{68228CC0-5030-1DE4-F1B7-AC9FB026E874}"/>
            </a:ext>
          </a:extLst>
        </xdr:cNvPr>
        <xdr:cNvSpPr txBox="1"/>
      </xdr:nvSpPr>
      <xdr:spPr>
        <a:xfrm>
          <a:off x="911694" y="69272"/>
          <a:ext cx="1048645" cy="474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rgbClr val="E5B244"/>
              </a:solidFill>
              <a:latin typeface="Kulim Park"/>
              <a:ea typeface="+mn-ea"/>
              <a:cs typeface="+mn-cs"/>
            </a:rPr>
            <a:t>HR</a:t>
          </a:r>
          <a:endParaRPr lang="en-GB" sz="1800" b="1">
            <a:solidFill>
              <a:srgbClr val="E5B244"/>
            </a:solidFill>
            <a:latin typeface="Kulim Park"/>
            <a:ea typeface="+mn-ea"/>
            <a:cs typeface="+mn-cs"/>
          </a:endParaRPr>
        </a:p>
      </xdr:txBody>
    </xdr:sp>
    <xdr:clientData/>
  </xdr:twoCellAnchor>
  <xdr:twoCellAnchor>
    <xdr:from>
      <xdr:col>1</xdr:col>
      <xdr:colOff>238076</xdr:colOff>
      <xdr:row>3</xdr:row>
      <xdr:rowOff>38221</xdr:rowOff>
    </xdr:from>
    <xdr:to>
      <xdr:col>3</xdr:col>
      <xdr:colOff>378213</xdr:colOff>
      <xdr:row>5</xdr:row>
      <xdr:rowOff>82014</xdr:rowOff>
    </xdr:to>
    <xdr:sp macro="" textlink="">
      <xdr:nvSpPr>
        <xdr:cNvPr id="154" name="TextBox 153">
          <a:extLst>
            <a:ext uri="{FF2B5EF4-FFF2-40B4-BE49-F238E27FC236}">
              <a16:creationId xmlns:a16="http://schemas.microsoft.com/office/drawing/2014/main" id="{84882C9C-CEC2-763F-AF68-8BCF0FD263CE}"/>
            </a:ext>
          </a:extLst>
        </xdr:cNvPr>
        <xdr:cNvSpPr txBox="1"/>
      </xdr:nvSpPr>
      <xdr:spPr>
        <a:xfrm>
          <a:off x="849985" y="592403"/>
          <a:ext cx="1363955" cy="413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E5B244"/>
              </a:solidFill>
              <a:latin typeface="Sagona Book" panose="02020503050505020204" pitchFamily="18" charset="0"/>
              <a:ea typeface="+mn-ea"/>
              <a:cs typeface="+mn-cs"/>
            </a:rPr>
            <a:t>Dashboard</a:t>
          </a:r>
        </a:p>
      </xdr:txBody>
    </xdr:sp>
    <xdr:clientData/>
  </xdr:twoCellAnchor>
  <xdr:twoCellAnchor>
    <xdr:from>
      <xdr:col>0</xdr:col>
      <xdr:colOff>34637</xdr:colOff>
      <xdr:row>4</xdr:row>
      <xdr:rowOff>70467</xdr:rowOff>
    </xdr:from>
    <xdr:to>
      <xdr:col>6</xdr:col>
      <xdr:colOff>420016</xdr:colOff>
      <xdr:row>6</xdr:row>
      <xdr:rowOff>70466</xdr:rowOff>
    </xdr:to>
    <xdr:sp macro="" textlink="">
      <xdr:nvSpPr>
        <xdr:cNvPr id="155" name="TextBox 154">
          <a:extLst>
            <a:ext uri="{FF2B5EF4-FFF2-40B4-BE49-F238E27FC236}">
              <a16:creationId xmlns:a16="http://schemas.microsoft.com/office/drawing/2014/main" id="{1AC80EC1-05A6-B7BE-7BC4-BDB0096AD062}"/>
            </a:ext>
          </a:extLst>
        </xdr:cNvPr>
        <xdr:cNvSpPr txBox="1"/>
      </xdr:nvSpPr>
      <xdr:spPr>
        <a:xfrm>
          <a:off x="34637" y="809376"/>
          <a:ext cx="4056834"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baseline="0">
              <a:solidFill>
                <a:schemeClr val="tx1">
                  <a:lumMod val="50000"/>
                  <a:lumOff val="50000"/>
                </a:schemeClr>
              </a:solidFill>
              <a:latin typeface="Sagona Book" panose="02020503050505020204" pitchFamily="18" charset="0"/>
              <a:ea typeface="+mn-ea"/>
              <a:cs typeface="+mn-cs"/>
            </a:rPr>
            <a:t>Analyza and monitor the HR department</a:t>
          </a:r>
        </a:p>
      </xdr:txBody>
    </xdr:sp>
    <xdr:clientData/>
  </xdr:twoCellAnchor>
  <xdr:twoCellAnchor editAs="oneCell">
    <xdr:from>
      <xdr:col>5</xdr:col>
      <xdr:colOff>543034</xdr:colOff>
      <xdr:row>0</xdr:row>
      <xdr:rowOff>148893</xdr:rowOff>
    </xdr:from>
    <xdr:to>
      <xdr:col>8</xdr:col>
      <xdr:colOff>464206</xdr:colOff>
      <xdr:row>4</xdr:row>
      <xdr:rowOff>61310</xdr:rowOff>
    </xdr:to>
    <mc:AlternateContent xmlns:mc="http://schemas.openxmlformats.org/markup-compatibility/2006" xmlns:a14="http://schemas.microsoft.com/office/drawing/2010/main">
      <mc:Choice Requires="a14">
        <xdr:graphicFrame macro="">
          <xdr:nvGraphicFramePr>
            <xdr:cNvPr id="158" name="Gender">
              <a:extLst>
                <a:ext uri="{FF2B5EF4-FFF2-40B4-BE49-F238E27FC236}">
                  <a16:creationId xmlns:a16="http://schemas.microsoft.com/office/drawing/2014/main" id="{FA9217D7-74CD-47A3-AA54-D172E14765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02579" y="148893"/>
              <a:ext cx="1756900" cy="6513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540756</xdr:colOff>
      <xdr:row>0</xdr:row>
      <xdr:rowOff>113861</xdr:rowOff>
    </xdr:from>
    <xdr:to>
      <xdr:col>12</xdr:col>
      <xdr:colOff>183931</xdr:colOff>
      <xdr:row>4</xdr:row>
      <xdr:rowOff>170137</xdr:rowOff>
    </xdr:to>
    <mc:AlternateContent xmlns:mc="http://schemas.openxmlformats.org/markup-compatibility/2006" xmlns:a14="http://schemas.microsoft.com/office/drawing/2010/main">
      <mc:Choice Requires="a14">
        <xdr:graphicFrame macro="">
          <xdr:nvGraphicFramePr>
            <xdr:cNvPr id="159" name="Department">
              <a:extLst>
                <a:ext uri="{FF2B5EF4-FFF2-40B4-BE49-F238E27FC236}">
                  <a16:creationId xmlns:a16="http://schemas.microsoft.com/office/drawing/2014/main" id="{0C335F9C-DD92-4B48-A1A9-2E6481B1961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436029" y="113861"/>
              <a:ext cx="2090811" cy="7951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543033</xdr:colOff>
      <xdr:row>0</xdr:row>
      <xdr:rowOff>105104</xdr:rowOff>
    </xdr:from>
    <xdr:to>
      <xdr:col>11</xdr:col>
      <xdr:colOff>210206</xdr:colOff>
      <xdr:row>2</xdr:row>
      <xdr:rowOff>17517</xdr:rowOff>
    </xdr:to>
    <xdr:sp macro="" textlink="">
      <xdr:nvSpPr>
        <xdr:cNvPr id="162" name="TextBox 161">
          <a:extLst>
            <a:ext uri="{FF2B5EF4-FFF2-40B4-BE49-F238E27FC236}">
              <a16:creationId xmlns:a16="http://schemas.microsoft.com/office/drawing/2014/main" id="{31C37F38-556C-2834-026D-310CE611A7EA}"/>
            </a:ext>
          </a:extLst>
        </xdr:cNvPr>
        <xdr:cNvSpPr txBox="1"/>
      </xdr:nvSpPr>
      <xdr:spPr>
        <a:xfrm>
          <a:off x="5447861" y="105104"/>
          <a:ext cx="1506483" cy="280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200" b="1">
              <a:solidFill>
                <a:schemeClr val="bg1"/>
              </a:solidFill>
              <a:latin typeface="Kulim Park"/>
              <a:ea typeface="+mn-ea"/>
              <a:cs typeface="+mn-cs"/>
            </a:rPr>
            <a:t>Filter by department</a:t>
          </a:r>
        </a:p>
      </xdr:txBody>
    </xdr:sp>
    <xdr:clientData/>
  </xdr:twoCellAnchor>
  <xdr:twoCellAnchor>
    <xdr:from>
      <xdr:col>5</xdr:col>
      <xdr:colOff>543035</xdr:colOff>
      <xdr:row>0</xdr:row>
      <xdr:rowOff>140138</xdr:rowOff>
    </xdr:from>
    <xdr:to>
      <xdr:col>8</xdr:col>
      <xdr:colOff>105103</xdr:colOff>
      <xdr:row>2</xdr:row>
      <xdr:rowOff>105104</xdr:rowOff>
    </xdr:to>
    <xdr:sp macro="" textlink="">
      <xdr:nvSpPr>
        <xdr:cNvPr id="163" name="TextBox 162">
          <a:extLst>
            <a:ext uri="{FF2B5EF4-FFF2-40B4-BE49-F238E27FC236}">
              <a16:creationId xmlns:a16="http://schemas.microsoft.com/office/drawing/2014/main" id="{24F591F1-E365-5511-9473-3A8234FAA4A1}"/>
            </a:ext>
          </a:extLst>
        </xdr:cNvPr>
        <xdr:cNvSpPr txBox="1"/>
      </xdr:nvSpPr>
      <xdr:spPr>
        <a:xfrm>
          <a:off x="3608552" y="140138"/>
          <a:ext cx="1401379" cy="332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Kulim Park"/>
            </a:rPr>
            <a:t>Filter by gender</a:t>
          </a:r>
        </a:p>
      </xdr:txBody>
    </xdr:sp>
    <xdr:clientData/>
  </xdr:twoCellAnchor>
  <xdr:twoCellAnchor editAs="oneCell">
    <xdr:from>
      <xdr:col>0</xdr:col>
      <xdr:colOff>92365</xdr:colOff>
      <xdr:row>0</xdr:row>
      <xdr:rowOff>23091</xdr:rowOff>
    </xdr:from>
    <xdr:to>
      <xdr:col>1</xdr:col>
      <xdr:colOff>277092</xdr:colOff>
      <xdr:row>4</xdr:row>
      <xdr:rowOff>80818</xdr:rowOff>
    </xdr:to>
    <xdr:pic>
      <xdr:nvPicPr>
        <xdr:cNvPr id="165" name="Graphic 164" descr="Meeting outline">
          <a:extLst>
            <a:ext uri="{FF2B5EF4-FFF2-40B4-BE49-F238E27FC236}">
              <a16:creationId xmlns:a16="http://schemas.microsoft.com/office/drawing/2014/main" id="{745FC7D0-CAC5-3704-7A06-F3063C49AF9F}"/>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92365" y="23091"/>
          <a:ext cx="796636" cy="79663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بدور الهلالي" refreshedDate="46131.388982060183" createdVersion="8" refreshedVersion="8" minRefreshableVersion="3" recordCount="50" xr:uid="{D4F77999-7709-49D1-810F-31CB8A50E68A}">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554130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n v="1"/>
    <n v="1"/>
    <s v="Leadership Training"/>
    <x v="0"/>
    <s v="Certified Professional"/>
  </r>
  <r>
    <n v="9116"/>
    <x v="1"/>
    <x v="1"/>
    <n v="27"/>
    <x v="1"/>
    <x v="1"/>
    <x v="1"/>
    <x v="1"/>
    <s v="Ashley Simmons MD"/>
    <s v="2022-12-20"/>
    <x v="0"/>
    <x v="1"/>
    <n v="91091"/>
    <s v="B"/>
    <n v="1024"/>
    <s v="None"/>
    <n v="19"/>
    <n v="4"/>
    <s v="Excel Workshop"/>
    <x v="0"/>
    <s v="Certified Professional"/>
  </r>
  <r>
    <n v="5120"/>
    <x v="2"/>
    <x v="1"/>
    <n v="34"/>
    <x v="1"/>
    <x v="2"/>
    <x v="2"/>
    <x v="2"/>
    <s v="Cassandra Duncan"/>
    <s v="2022-08-10"/>
    <x v="0"/>
    <x v="2"/>
    <n v="57538"/>
    <s v="D"/>
    <n v="1674"/>
    <s v="None"/>
    <n v="8"/>
    <n v="1"/>
    <s v="None"/>
    <x v="1"/>
    <s v="Advanced Training"/>
  </r>
  <r>
    <n v="8071"/>
    <x v="3"/>
    <x v="0"/>
    <n v="41"/>
    <x v="2"/>
    <x v="2"/>
    <x v="0"/>
    <x v="3"/>
    <s v="Janet Harris"/>
    <s v="2024-09-03"/>
    <x v="1"/>
    <x v="0"/>
    <n v="62993"/>
    <s v="A"/>
    <n v="2695"/>
    <s v="Health + Dental"/>
    <n v="0"/>
    <n v="2"/>
    <s v="None"/>
    <x v="2"/>
    <s v="None"/>
  </r>
  <r>
    <n v="9351"/>
    <x v="4"/>
    <x v="1"/>
    <n v="56"/>
    <x v="3"/>
    <x v="0"/>
    <x v="0"/>
    <x v="2"/>
    <s v="Mr. Frank Clay"/>
    <s v="2019-03-14"/>
    <x v="1"/>
    <x v="1"/>
    <n v="45773"/>
    <s v="A"/>
    <n v="8776"/>
    <s v="Health"/>
    <n v="16"/>
    <n v="4"/>
    <s v="Leadership Training"/>
    <x v="2"/>
    <s v="None"/>
  </r>
  <r>
    <n v="2873"/>
    <x v="5"/>
    <x v="0"/>
    <n v="28"/>
    <x v="1"/>
    <x v="2"/>
    <x v="3"/>
    <x v="2"/>
    <s v="Dorothy Price"/>
    <s v="2017-01-23"/>
    <x v="0"/>
    <x v="1"/>
    <n v="96249"/>
    <s v="C"/>
    <n v="4826"/>
    <s v="Health + Dental"/>
    <n v="7"/>
    <n v="3"/>
    <s v="Leadership Training"/>
    <x v="3"/>
    <s v="Certified Professional"/>
  </r>
  <r>
    <n v="3540"/>
    <x v="6"/>
    <x v="0"/>
    <n v="20"/>
    <x v="0"/>
    <x v="1"/>
    <x v="2"/>
    <x v="2"/>
    <s v="Michele Sexton"/>
    <s v="2024-08-17"/>
    <x v="0"/>
    <x v="2"/>
    <n v="61596"/>
    <s v="C"/>
    <n v="8818"/>
    <s v="Health + Dental"/>
    <n v="4"/>
    <n v="2"/>
    <s v="Leadership Training"/>
    <x v="1"/>
    <s v="None"/>
  </r>
  <r>
    <n v="3653"/>
    <x v="7"/>
    <x v="0"/>
    <n v="58"/>
    <x v="3"/>
    <x v="3"/>
    <x v="1"/>
    <x v="4"/>
    <s v="Richard Schmidt"/>
    <s v="2014-12-09"/>
    <x v="0"/>
    <x v="2"/>
    <n v="97869"/>
    <s v="A"/>
    <n v="1966"/>
    <s v="Health"/>
    <n v="10"/>
    <n v="1"/>
    <s v="Leadership Training"/>
    <x v="0"/>
    <s v="Certified Professional"/>
  </r>
  <r>
    <n v="5587"/>
    <x v="8"/>
    <x v="0"/>
    <n v="44"/>
    <x v="2"/>
    <x v="3"/>
    <x v="2"/>
    <x v="2"/>
    <s v="Teresa Pearson"/>
    <s v="2021-06-28"/>
    <x v="0"/>
    <x v="0"/>
    <n v="81235"/>
    <s v="A"/>
    <n v="6553"/>
    <s v="None"/>
    <n v="16"/>
    <n v="2"/>
    <s v="None"/>
    <x v="1"/>
    <s v="Certified Professional"/>
  </r>
  <r>
    <n v="9554"/>
    <x v="9"/>
    <x v="0"/>
    <n v="29"/>
    <x v="1"/>
    <x v="1"/>
    <x v="2"/>
    <x v="3"/>
    <s v="Laura Hart"/>
    <s v="2018-05-20"/>
    <x v="0"/>
    <x v="1"/>
    <n v="87852"/>
    <s v="A"/>
    <n v="4980"/>
    <s v="Health + Dental"/>
    <n v="19"/>
    <n v="3"/>
    <s v="None"/>
    <x v="2"/>
    <s v="Certified Professional"/>
  </r>
  <r>
    <n v="6213"/>
    <x v="10"/>
    <x v="1"/>
    <n v="23"/>
    <x v="0"/>
    <x v="3"/>
    <x v="0"/>
    <x v="2"/>
    <s v="Andrea May"/>
    <s v="2017-02-13"/>
    <x v="1"/>
    <x v="1"/>
    <n v="59359"/>
    <s v="A"/>
    <n v="9449"/>
    <s v="Health + Dental"/>
    <n v="20"/>
    <n v="3"/>
    <s v="None"/>
    <x v="1"/>
    <s v="None"/>
  </r>
  <r>
    <n v="9105"/>
    <x v="11"/>
    <x v="1"/>
    <n v="30"/>
    <x v="1"/>
    <x v="0"/>
    <x v="1"/>
    <x v="0"/>
    <s v="Casey Martin"/>
    <s v="2024-05-05"/>
    <x v="1"/>
    <x v="2"/>
    <n v="81225"/>
    <s v="D"/>
    <n v="6202"/>
    <s v="Health + Dental"/>
    <n v="2"/>
    <n v="2"/>
    <s v="Excel Workshop"/>
    <x v="4"/>
    <s v="Certified Professional"/>
  </r>
  <r>
    <n v="9508"/>
    <x v="12"/>
    <x v="0"/>
    <n v="49"/>
    <x v="4"/>
    <x v="1"/>
    <x v="0"/>
    <x v="0"/>
    <s v="Amber Allen"/>
    <s v="2022-04-19"/>
    <x v="1"/>
    <x v="0"/>
    <n v="32788"/>
    <s v="D"/>
    <n v="4396"/>
    <s v="Health"/>
    <n v="13"/>
    <n v="5"/>
    <s v="None"/>
    <x v="3"/>
    <s v="Advanced Training"/>
  </r>
  <r>
    <n v="2436"/>
    <x v="13"/>
    <x v="1"/>
    <n v="60"/>
    <x v="3"/>
    <x v="4"/>
    <x v="0"/>
    <x v="3"/>
    <s v="Adam Johnson"/>
    <s v="2015-11-16"/>
    <x v="1"/>
    <x v="2"/>
    <n v="70452"/>
    <s v="D"/>
    <n v="9911"/>
    <s v="None"/>
    <n v="2"/>
    <n v="1"/>
    <s v="None"/>
    <x v="3"/>
    <s v="Certified Professional"/>
  </r>
  <r>
    <n v="4441"/>
    <x v="14"/>
    <x v="1"/>
    <n v="46"/>
    <x v="4"/>
    <x v="1"/>
    <x v="3"/>
    <x v="0"/>
    <s v="Nicole Dominguez"/>
    <s v="2023-09-09"/>
    <x v="0"/>
    <x v="1"/>
    <n v="33045"/>
    <s v="B"/>
    <n v="1456"/>
    <s v="None"/>
    <n v="16"/>
    <n v="3"/>
    <s v="Excel Workshop"/>
    <x v="3"/>
    <s v="None"/>
  </r>
  <r>
    <n v="5827"/>
    <x v="15"/>
    <x v="1"/>
    <n v="57"/>
    <x v="3"/>
    <x v="2"/>
    <x v="3"/>
    <x v="1"/>
    <s v="Andrew Best"/>
    <s v="2017-12-12"/>
    <x v="2"/>
    <x v="2"/>
    <n v="96429"/>
    <s v="C"/>
    <n v="4740"/>
    <s v="None"/>
    <n v="8"/>
    <n v="1"/>
    <s v="Excel Workshop"/>
    <x v="2"/>
    <s v="None"/>
  </r>
  <r>
    <n v="5184"/>
    <x v="16"/>
    <x v="0"/>
    <n v="24"/>
    <x v="0"/>
    <x v="1"/>
    <x v="2"/>
    <x v="2"/>
    <s v="Gabrielle Rodriguez"/>
    <s v="2017-03-10"/>
    <x v="2"/>
    <x v="2"/>
    <n v="33183"/>
    <s v="A"/>
    <n v="8114"/>
    <s v="None"/>
    <n v="4"/>
    <n v="2"/>
    <s v="Excel Workshop"/>
    <x v="4"/>
    <s v="Advanced Training"/>
  </r>
  <r>
    <n v="5874"/>
    <x v="3"/>
    <x v="0"/>
    <n v="35"/>
    <x v="1"/>
    <x v="4"/>
    <x v="3"/>
    <x v="0"/>
    <s v="Allison Harvey"/>
    <s v="2019-03-04"/>
    <x v="2"/>
    <x v="0"/>
    <n v="75065"/>
    <s v="C"/>
    <n v="7123"/>
    <s v="None"/>
    <n v="20"/>
    <n v="2"/>
    <s v="None"/>
    <x v="0"/>
    <s v="Advanced Training"/>
  </r>
  <r>
    <n v="9834"/>
    <x v="17"/>
    <x v="1"/>
    <n v="41"/>
    <x v="2"/>
    <x v="1"/>
    <x v="1"/>
    <x v="4"/>
    <s v="Tristan Mejia"/>
    <s v="2022-11-20"/>
    <x v="0"/>
    <x v="2"/>
    <n v="32877"/>
    <s v="C"/>
    <n v="6432"/>
    <s v="Health"/>
    <n v="11"/>
    <n v="1"/>
    <s v="None"/>
    <x v="0"/>
    <s v="None"/>
  </r>
  <r>
    <n v="5096"/>
    <x v="18"/>
    <x v="1"/>
    <n v="36"/>
    <x v="2"/>
    <x v="1"/>
    <x v="4"/>
    <x v="3"/>
    <s v="Mary Welch"/>
    <s v="2021-03-02"/>
    <x v="0"/>
    <x v="1"/>
    <n v="46811"/>
    <s v="D"/>
    <n v="1567"/>
    <s v="None"/>
    <n v="7"/>
    <n v="3"/>
    <s v="Excel Workshop"/>
    <x v="0"/>
    <s v="Advanced Training"/>
  </r>
  <r>
    <n v="2263"/>
    <x v="19"/>
    <x v="1"/>
    <n v="31"/>
    <x v="1"/>
    <x v="3"/>
    <x v="2"/>
    <x v="1"/>
    <s v="Douglas Miles"/>
    <s v="2021-08-01"/>
    <x v="1"/>
    <x v="1"/>
    <n v="87538"/>
    <s v="C"/>
    <n v="3588"/>
    <s v="Health + Dental"/>
    <n v="11"/>
    <n v="5"/>
    <s v="Excel Workshop"/>
    <x v="2"/>
    <s v="None"/>
  </r>
  <r>
    <n v="6505"/>
    <x v="20"/>
    <x v="0"/>
    <n v="28"/>
    <x v="1"/>
    <x v="0"/>
    <x v="1"/>
    <x v="4"/>
    <s v="Jessica Fleming"/>
    <s v="2015-08-14"/>
    <x v="0"/>
    <x v="1"/>
    <n v="73002"/>
    <s v="C"/>
    <n v="6296"/>
    <s v="Health"/>
    <n v="2"/>
    <n v="5"/>
    <s v="Excel Workshop"/>
    <x v="1"/>
    <s v="Certified Professional"/>
  </r>
  <r>
    <n v="8626"/>
    <x v="21"/>
    <x v="1"/>
    <n v="37"/>
    <x v="2"/>
    <x v="3"/>
    <x v="1"/>
    <x v="3"/>
    <s v="Christine Lee"/>
    <s v="2015-10-21"/>
    <x v="2"/>
    <x v="2"/>
    <n v="41653"/>
    <s v="D"/>
    <n v="9236"/>
    <s v="None"/>
    <n v="13"/>
    <n v="1"/>
    <s v="Excel Workshop"/>
    <x v="0"/>
    <s v="None"/>
  </r>
  <r>
    <n v="5979"/>
    <x v="22"/>
    <x v="0"/>
    <n v="31"/>
    <x v="1"/>
    <x v="0"/>
    <x v="0"/>
    <x v="2"/>
    <s v="Mario Smith DVM"/>
    <s v="2015-03-14"/>
    <x v="1"/>
    <x v="1"/>
    <n v="67582"/>
    <s v="A"/>
    <n v="1375"/>
    <s v="Health"/>
    <n v="20"/>
    <n v="3"/>
    <s v="Excel Workshop"/>
    <x v="1"/>
    <s v="None"/>
  </r>
  <r>
    <n v="3104"/>
    <x v="23"/>
    <x v="0"/>
    <n v="23"/>
    <x v="0"/>
    <x v="3"/>
    <x v="1"/>
    <x v="1"/>
    <s v="Joseph Francis"/>
    <s v="2024-05-22"/>
    <x v="2"/>
    <x v="1"/>
    <n v="37351"/>
    <s v="D"/>
    <n v="7858"/>
    <s v="Health + Dental"/>
    <n v="18"/>
    <n v="2"/>
    <s v="Leadership Training"/>
    <x v="1"/>
    <s v="Advanced Training"/>
  </r>
  <r>
    <n v="8967"/>
    <x v="24"/>
    <x v="0"/>
    <n v="48"/>
    <x v="4"/>
    <x v="4"/>
    <x v="2"/>
    <x v="0"/>
    <s v="Sarah Young"/>
    <s v="2017-03-19"/>
    <x v="0"/>
    <x v="1"/>
    <n v="36721"/>
    <s v="B"/>
    <n v="8820"/>
    <s v="Health + Dental"/>
    <n v="0"/>
    <n v="2"/>
    <s v="Excel Workshop"/>
    <x v="1"/>
    <s v="Certified Professional"/>
  </r>
  <r>
    <n v="5087"/>
    <x v="25"/>
    <x v="1"/>
    <n v="28"/>
    <x v="1"/>
    <x v="2"/>
    <x v="4"/>
    <x v="0"/>
    <s v="Aaron Hart"/>
    <s v="2021-09-15"/>
    <x v="1"/>
    <x v="2"/>
    <n v="46326"/>
    <s v="B"/>
    <n v="9189"/>
    <s v="Health + Dental"/>
    <n v="8"/>
    <n v="4"/>
    <s v="Leadership Training"/>
    <x v="3"/>
    <s v="Advanced Training"/>
  </r>
  <r>
    <n v="3358"/>
    <x v="26"/>
    <x v="1"/>
    <n v="30"/>
    <x v="1"/>
    <x v="1"/>
    <x v="3"/>
    <x v="1"/>
    <s v="Brian Boyd"/>
    <s v="2022-05-09"/>
    <x v="0"/>
    <x v="0"/>
    <n v="59007"/>
    <s v="C"/>
    <n v="3380"/>
    <s v="Health"/>
    <n v="17"/>
    <n v="3"/>
    <s v="None"/>
    <x v="4"/>
    <s v="Certified Professional"/>
  </r>
  <r>
    <n v="8256"/>
    <x v="27"/>
    <x v="1"/>
    <n v="46"/>
    <x v="4"/>
    <x v="3"/>
    <x v="0"/>
    <x v="3"/>
    <s v="Steven Krueger"/>
    <s v="2017-06-22"/>
    <x v="0"/>
    <x v="1"/>
    <n v="52020"/>
    <s v="B"/>
    <n v="9585"/>
    <s v="Health + Dental"/>
    <n v="0"/>
    <n v="4"/>
    <s v="Excel Workshop"/>
    <x v="4"/>
    <s v="None"/>
  </r>
  <r>
    <n v="5763"/>
    <x v="28"/>
    <x v="1"/>
    <n v="44"/>
    <x v="2"/>
    <x v="1"/>
    <x v="2"/>
    <x v="1"/>
    <s v="Debra Williams"/>
    <s v="2020-11-28"/>
    <x v="2"/>
    <x v="1"/>
    <n v="98961"/>
    <s v="D"/>
    <n v="2688"/>
    <s v="Health"/>
    <n v="2"/>
    <n v="5"/>
    <s v="Excel Workshop"/>
    <x v="4"/>
    <s v="Certified Professional"/>
  </r>
  <r>
    <n v="6838"/>
    <x v="29"/>
    <x v="1"/>
    <n v="45"/>
    <x v="2"/>
    <x v="2"/>
    <x v="3"/>
    <x v="2"/>
    <s v="Karen Mitchell"/>
    <s v="2015-08-30"/>
    <x v="2"/>
    <x v="1"/>
    <n v="81943"/>
    <s v="C"/>
    <n v="2255"/>
    <s v="Health"/>
    <n v="18"/>
    <n v="2"/>
    <s v="None"/>
    <x v="2"/>
    <s v="Certified Professional"/>
  </r>
  <r>
    <n v="9544"/>
    <x v="30"/>
    <x v="1"/>
    <n v="52"/>
    <x v="4"/>
    <x v="4"/>
    <x v="2"/>
    <x v="1"/>
    <s v="Joseph Sanders"/>
    <s v="2018-10-27"/>
    <x v="2"/>
    <x v="1"/>
    <n v="47627"/>
    <s v="C"/>
    <n v="1221"/>
    <s v="None"/>
    <n v="4"/>
    <n v="3"/>
    <s v="None"/>
    <x v="1"/>
    <s v="None"/>
  </r>
  <r>
    <n v="8012"/>
    <x v="31"/>
    <x v="0"/>
    <n v="52"/>
    <x v="4"/>
    <x v="0"/>
    <x v="0"/>
    <x v="4"/>
    <s v="Shelly George"/>
    <s v="2018-08-26"/>
    <x v="2"/>
    <x v="1"/>
    <n v="56162"/>
    <s v="D"/>
    <n v="6560"/>
    <s v="Health + Dental"/>
    <n v="9"/>
    <n v="4"/>
    <s v="Excel Workshop"/>
    <x v="3"/>
    <s v="None"/>
  </r>
  <r>
    <n v="9374"/>
    <x v="32"/>
    <x v="0"/>
    <n v="42"/>
    <x v="2"/>
    <x v="1"/>
    <x v="2"/>
    <x v="2"/>
    <s v="Nicole Houston"/>
    <s v="2023-07-24"/>
    <x v="1"/>
    <x v="2"/>
    <n v="95734"/>
    <s v="C"/>
    <n v="4854"/>
    <s v="Health"/>
    <n v="13"/>
    <n v="2"/>
    <s v="Leadership Training"/>
    <x v="0"/>
    <s v="Certified Professional"/>
  </r>
  <r>
    <n v="3487"/>
    <x v="33"/>
    <x v="1"/>
    <n v="58"/>
    <x v="3"/>
    <x v="1"/>
    <x v="1"/>
    <x v="3"/>
    <s v="Kristin Shaffer"/>
    <s v="2018-07-09"/>
    <x v="1"/>
    <x v="2"/>
    <n v="74789"/>
    <s v="C"/>
    <n v="8101"/>
    <s v="Health + Dental"/>
    <n v="14"/>
    <n v="5"/>
    <s v="Excel Workshop"/>
    <x v="2"/>
    <s v="None"/>
  </r>
  <r>
    <n v="8445"/>
    <x v="34"/>
    <x v="0"/>
    <n v="24"/>
    <x v="0"/>
    <x v="4"/>
    <x v="0"/>
    <x v="3"/>
    <s v="Joel Aguilar"/>
    <s v="2016-12-21"/>
    <x v="0"/>
    <x v="2"/>
    <n v="30137"/>
    <s v="B"/>
    <n v="4031"/>
    <s v="None"/>
    <n v="5"/>
    <n v="3"/>
    <s v="None"/>
    <x v="1"/>
    <s v="Certified Professional"/>
  </r>
  <r>
    <n v="1550"/>
    <x v="35"/>
    <x v="1"/>
    <n v="21"/>
    <x v="0"/>
    <x v="1"/>
    <x v="0"/>
    <x v="0"/>
    <s v="Michael Wade"/>
    <s v="2019-06-27"/>
    <x v="0"/>
    <x v="2"/>
    <n v="95510"/>
    <s v="C"/>
    <n v="6811"/>
    <s v="Health"/>
    <n v="18"/>
    <n v="4"/>
    <s v="Excel Workshop"/>
    <x v="4"/>
    <s v="Certified Professional"/>
  </r>
  <r>
    <n v="9968"/>
    <x v="36"/>
    <x v="1"/>
    <n v="58"/>
    <x v="3"/>
    <x v="1"/>
    <x v="3"/>
    <x v="0"/>
    <s v="Jessica Walsh"/>
    <s v="2021-08-27"/>
    <x v="1"/>
    <x v="0"/>
    <n v="80325"/>
    <s v="B"/>
    <n v="6230"/>
    <s v="Health"/>
    <n v="5"/>
    <n v="4"/>
    <s v="None"/>
    <x v="2"/>
    <s v="Advanced Training"/>
  </r>
  <r>
    <n v="8029"/>
    <x v="37"/>
    <x v="0"/>
    <n v="57"/>
    <x v="3"/>
    <x v="3"/>
    <x v="4"/>
    <x v="4"/>
    <s v="Kelly Mack"/>
    <s v="2017-05-28"/>
    <x v="2"/>
    <x v="1"/>
    <n v="34109"/>
    <s v="B"/>
    <n v="9232"/>
    <s v="Health"/>
    <n v="13"/>
    <n v="3"/>
    <s v="Leadership Training"/>
    <x v="0"/>
    <s v="Certified Professional"/>
  </r>
  <r>
    <n v="8847"/>
    <x v="38"/>
    <x v="1"/>
    <n v="41"/>
    <x v="2"/>
    <x v="3"/>
    <x v="3"/>
    <x v="0"/>
    <s v="John Conley"/>
    <s v="2022-01-30"/>
    <x v="2"/>
    <x v="2"/>
    <n v="73330"/>
    <s v="C"/>
    <n v="2276"/>
    <s v="Health + Dental"/>
    <n v="5"/>
    <n v="1"/>
    <s v="None"/>
    <x v="1"/>
    <s v="Advanced Training"/>
  </r>
  <r>
    <n v="1955"/>
    <x v="39"/>
    <x v="0"/>
    <n v="58"/>
    <x v="3"/>
    <x v="2"/>
    <x v="2"/>
    <x v="1"/>
    <s v="Aaron Baker"/>
    <s v="2017-04-20"/>
    <x v="1"/>
    <x v="2"/>
    <n v="46567"/>
    <s v="A"/>
    <n v="2825"/>
    <s v="Health"/>
    <n v="15"/>
    <n v="3"/>
    <s v="None"/>
    <x v="4"/>
    <s v="Advanced Training"/>
  </r>
  <r>
    <n v="4522"/>
    <x v="40"/>
    <x v="0"/>
    <n v="36"/>
    <x v="2"/>
    <x v="0"/>
    <x v="4"/>
    <x v="0"/>
    <s v="Christopher Bass"/>
    <s v="2019-07-22"/>
    <x v="1"/>
    <x v="1"/>
    <n v="39795"/>
    <s v="A"/>
    <n v="1670"/>
    <s v="None"/>
    <n v="0"/>
    <n v="2"/>
    <s v="Excel Workshop"/>
    <x v="3"/>
    <s v="None"/>
  </r>
  <r>
    <n v="3078"/>
    <x v="41"/>
    <x v="0"/>
    <n v="21"/>
    <x v="0"/>
    <x v="0"/>
    <x v="0"/>
    <x v="4"/>
    <s v="Sean Tucker PhD"/>
    <s v="2018-11-29"/>
    <x v="1"/>
    <x v="2"/>
    <n v="59506"/>
    <s v="A"/>
    <n v="4428"/>
    <s v="Health + Dental"/>
    <n v="0"/>
    <n v="1"/>
    <s v="None"/>
    <x v="3"/>
    <s v="Certified Professional"/>
  </r>
  <r>
    <n v="6357"/>
    <x v="42"/>
    <x v="0"/>
    <n v="46"/>
    <x v="4"/>
    <x v="2"/>
    <x v="1"/>
    <x v="4"/>
    <s v="Jacob Scott"/>
    <s v="2022-11-14"/>
    <x v="1"/>
    <x v="2"/>
    <n v="49058"/>
    <s v="B"/>
    <n v="4396"/>
    <s v="None"/>
    <n v="5"/>
    <n v="1"/>
    <s v="None"/>
    <x v="3"/>
    <s v="None"/>
  </r>
  <r>
    <n v="7951"/>
    <x v="43"/>
    <x v="0"/>
    <n v="36"/>
    <x v="2"/>
    <x v="3"/>
    <x v="2"/>
    <x v="4"/>
    <s v="Joel Park"/>
    <s v="2016-02-23"/>
    <x v="1"/>
    <x v="0"/>
    <n v="98612"/>
    <s v="A"/>
    <n v="1168"/>
    <s v="None"/>
    <n v="9"/>
    <n v="2"/>
    <s v="Excel Workshop"/>
    <x v="0"/>
    <s v="Certified Professional"/>
  </r>
  <r>
    <n v="9228"/>
    <x v="44"/>
    <x v="1"/>
    <n v="41"/>
    <x v="2"/>
    <x v="4"/>
    <x v="3"/>
    <x v="1"/>
    <s v="Russell Marshall"/>
    <s v="2018-05-18"/>
    <x v="2"/>
    <x v="1"/>
    <n v="38201"/>
    <s v="A"/>
    <n v="7111"/>
    <s v="Health"/>
    <n v="8"/>
    <n v="4"/>
    <s v="Leadership Training"/>
    <x v="3"/>
    <s v="None"/>
  </r>
  <r>
    <n v="8988"/>
    <x v="45"/>
    <x v="1"/>
    <n v="25"/>
    <x v="0"/>
    <x v="0"/>
    <x v="2"/>
    <x v="2"/>
    <s v="James Holden"/>
    <s v="2024-03-09"/>
    <x v="2"/>
    <x v="1"/>
    <n v="92919"/>
    <s v="D"/>
    <n v="9497"/>
    <s v="Health"/>
    <n v="7"/>
    <n v="2"/>
    <s v="None"/>
    <x v="3"/>
    <s v="Advanced Training"/>
  </r>
  <r>
    <n v="1952"/>
    <x v="46"/>
    <x v="0"/>
    <n v="29"/>
    <x v="1"/>
    <x v="4"/>
    <x v="0"/>
    <x v="1"/>
    <s v="Thomas Murphy"/>
    <s v="2024-03-27"/>
    <x v="0"/>
    <x v="2"/>
    <n v="45188"/>
    <s v="A"/>
    <n v="9591"/>
    <s v="Health + Dental"/>
    <n v="18"/>
    <n v="3"/>
    <s v="Leadership Training"/>
    <x v="3"/>
    <s v="None"/>
  </r>
  <r>
    <n v="5760"/>
    <x v="47"/>
    <x v="0"/>
    <n v="59"/>
    <x v="3"/>
    <x v="2"/>
    <x v="1"/>
    <x v="0"/>
    <s v="Mark Abbott"/>
    <s v="2019-12-23"/>
    <x v="0"/>
    <x v="1"/>
    <n v="34927"/>
    <s v="D"/>
    <n v="6996"/>
    <s v="Health + Dental"/>
    <n v="16"/>
    <n v="1"/>
    <s v="Excel Workshop"/>
    <x v="0"/>
    <s v="Certified Professional"/>
  </r>
  <r>
    <n v="5742"/>
    <x v="48"/>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710ADC-A6C7-4BDF-AFFA-BB06825F6B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7" firstHeaderRow="0" firstDataRow="1" firstDataCol="1"/>
  <pivotFields count="21">
    <pivotField showAll="0"/>
    <pivotField showAll="0"/>
    <pivotField showAll="0">
      <items count="3">
        <item x="0"/>
        <item h="1" x="1"/>
        <item t="default"/>
      </items>
    </pivotField>
    <pivotField showAll="0"/>
    <pivotField showAll="0"/>
    <pivotField showAll="0"/>
    <pivotField axis="axisRow" showAll="0">
      <items count="6">
        <item x="4"/>
        <item x="1"/>
        <item x="3"/>
        <item x="2"/>
        <item x="0"/>
        <item t="default"/>
      </items>
    </pivotField>
    <pivotField showAll="0">
      <items count="6">
        <item h="1" x="0"/>
        <item h="1" x="1"/>
        <item h="1" x="4"/>
        <item x="2"/>
        <item h="1"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4">
    <i>
      <x v="2"/>
    </i>
    <i>
      <x v="3"/>
    </i>
    <i>
      <x v="4"/>
    </i>
    <i t="grand">
      <x/>
    </i>
  </rowItems>
  <colFields count="1">
    <field x="-2"/>
  </colFields>
  <colItems count="2">
    <i>
      <x/>
    </i>
    <i i="1">
      <x v="1"/>
    </i>
  </colItems>
  <dataFields count="2">
    <dataField name="Sum of Salary" fld="12" baseField="0" baseItem="0" numFmtId="164"/>
    <dataField name="Sum of Leave Taken" fld="16"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E298CE-60DD-4BE1-B23C-E86868242D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h="1" x="1"/>
        <item t="default"/>
      </items>
    </pivotField>
    <pivotField showAll="0"/>
    <pivotField showAll="0"/>
    <pivotField showAll="0"/>
    <pivotField showAll="0"/>
    <pivotField showAll="0">
      <items count="6">
        <item h="1" x="0"/>
        <item h="1" x="1"/>
        <item h="1" x="4"/>
        <item x="2"/>
        <item h="1"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434A8A-F66A-4378-B424-71822CE088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6"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h="1" x="1"/>
        <item t="default"/>
      </items>
    </pivotField>
    <pivotField showAll="0"/>
    <pivotField showAll="0"/>
    <pivotField showAll="0"/>
    <pivotField showAll="0"/>
    <pivotField showAll="0">
      <items count="6">
        <item h="1" x="0"/>
        <item h="1" x="1"/>
        <item h="1" x="4"/>
        <item x="2"/>
        <item h="1"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4B153-866E-421C-8C42-646795F513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T7"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h="1" x="1"/>
        <item t="default"/>
      </items>
    </pivotField>
    <pivotField showAll="0"/>
    <pivotField showAll="0"/>
    <pivotField showAll="0"/>
    <pivotField showAll="0"/>
    <pivotField showAll="0">
      <items count="6">
        <item h="1" x="0"/>
        <item h="1" x="1"/>
        <item h="1" x="4"/>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5">
    <i>
      <x/>
    </i>
    <i>
      <x v="1"/>
    </i>
    <i>
      <x v="2"/>
    </i>
    <i>
      <x v="3"/>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B7BAF6-9A77-4796-841A-FA0F1D1763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K8" firstHeaderRow="1" firstDataRow="2"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h="1" x="0"/>
        <item h="1" x="1"/>
        <item h="1" x="4"/>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4"/>
    </i>
    <i t="grand">
      <x/>
    </i>
  </rowItems>
  <colFields count="1">
    <field x="2"/>
  </colFields>
  <colItems count="3">
    <i>
      <x/>
    </i>
    <i>
      <x v="1"/>
    </i>
    <i t="grand">
      <x/>
    </i>
  </colItems>
  <dataFields count="1">
    <dataField name="Count of Full Name" fld="1"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F5CFF5-E49A-4F48-8CDA-66AAE0299F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2:AB4" firstHeaderRow="1" firstDataRow="1" firstDataCol="1"/>
  <pivotFields count="21">
    <pivotField showAll="0"/>
    <pivotField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h="1" x="1"/>
        <item t="default"/>
      </items>
    </pivotField>
    <pivotField showAll="0"/>
    <pivotField showAll="0"/>
    <pivotField showAll="0"/>
    <pivotField showAll="0"/>
    <pivotField axis="axisRow" showAll="0">
      <items count="6">
        <item h="1" x="0"/>
        <item h="1" x="1"/>
        <item h="1" x="4"/>
        <item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2">
    <i>
      <x v="3"/>
    </i>
    <i t="grand">
      <x/>
    </i>
  </rowItems>
  <colItems count="1">
    <i/>
  </colItems>
  <dataFields count="1">
    <dataField name="Average of Performance Rating" fld="17" subtotal="average" baseField="7" baseItem="0"/>
  </dataFields>
  <formats count="1">
    <format dxfId="29">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6CC206-EF60-4046-AD71-B1D0DCAC3B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W2:X7"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h="1" x="1"/>
        <item t="default"/>
      </items>
    </pivotField>
    <pivotField showAll="0"/>
    <pivotField showAll="0">
      <items count="6">
        <item x="0"/>
        <item x="1"/>
        <item x="2"/>
        <item x="4"/>
        <item x="3"/>
        <item t="default"/>
      </items>
    </pivotField>
    <pivotField axis="axisRow" showAll="0">
      <items count="6">
        <item x="1"/>
        <item x="0"/>
        <item x="4"/>
        <item x="3"/>
        <item x="2"/>
        <item t="default"/>
      </items>
    </pivotField>
    <pivotField showAll="0"/>
    <pivotField showAll="0">
      <items count="6">
        <item h="1" x="0"/>
        <item h="1" x="1"/>
        <item h="1" x="4"/>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3"/>
    </i>
    <i>
      <x v="4"/>
    </i>
    <i t="grand">
      <x/>
    </i>
  </rowItems>
  <colItems count="1">
    <i/>
  </colItems>
  <dataFields count="1">
    <dataField name="Count of Full Nam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4712951-DFCE-4518-89F9-45BB6D48AF72}" sourceName="Department">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1554130321">
      <items count="5">
        <i x="0"/>
        <i x="1"/>
        <i x="4"/>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392682-0F8B-4718-B255-5F064D0588D8}" sourceName="Gender">
  <pivotTables>
    <pivotTable tabId="3" name="PivotTable2"/>
    <pivotTable tabId="3" name="PivotTable1"/>
    <pivotTable tabId="3" name="PivotTable4"/>
    <pivotTable tabId="3" name="PivotTable5"/>
    <pivotTable tabId="3" name="PivotTable6"/>
    <pivotTable tabId="3" name="PivotTable7"/>
  </pivotTables>
  <data>
    <tabular pivotCacheId="155413032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49AF4DE-F168-4223-A00A-25E0F2A84611}" cache="Slicer_Department" columnCount="3" style="Slicer Style 1" rowHeight="180000"/>
  <slicer name="Gender" xr10:uid="{77D0C984-F497-46F9-9CD1-E9678F63676D}" cache="Slicer_Gender"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52" dataDxfId="51">
  <autoFilter ref="A1:U51" xr:uid="{BD7F130C-4931-4EC9-8AE2-A64F6556D3A3}"/>
  <tableColumns count="21">
    <tableColumn id="1" xr3:uid="{6BDBB43D-1DF4-4FF3-9C56-0E3D699A83FC}" name="Employee ID" dataDxfId="50"/>
    <tableColumn id="2" xr3:uid="{363D91B7-21AD-4B4B-86DE-95D24769EAA5}" name="Full Name" dataDxfId="49"/>
    <tableColumn id="3" xr3:uid="{728245EC-9766-45F5-9851-7FEFEFBE2652}" name="Gender" dataDxfId="48"/>
    <tableColumn id="4" xr3:uid="{DD8A90D1-163F-4B0E-A039-9E7A16AFC106}" name="Age" dataDxfId="47"/>
    <tableColumn id="5" xr3:uid="{0672993B-A00D-49AE-84B7-674089468A17}" name="Age range" dataDxfId="46"/>
    <tableColumn id="6" xr3:uid="{B1ADEE80-60F1-4EE3-B3FB-8484EE6C17B3}" name="Region" dataDxfId="45"/>
    <tableColumn id="7" xr3:uid="{8E0A56EE-3456-4513-ADA0-27F6CAA8C17B}" name="Job Title" dataDxfId="44"/>
    <tableColumn id="8" xr3:uid="{0D9D5DB9-01CB-4300-B0CD-256901621ADC}" name="Department" dataDxfId="43"/>
    <tableColumn id="9" xr3:uid="{9EBDAC3F-6A39-4A78-B562-848691EE3AD1}" name="Manager/Supervisor" dataDxfId="42"/>
    <tableColumn id="10" xr3:uid="{AF849F24-150A-4123-B3F8-A46B4D4F7BC6}" name="Date of Hire" dataDxfId="41"/>
    <tableColumn id="11" xr3:uid="{8C57202E-334A-462A-9C44-E5E2468122E4}" name="Employment Status" dataDxfId="40"/>
    <tableColumn id="12" xr3:uid="{8A07812C-245C-4D55-A210-3AE7E0BB84EB}" name="Work Location" dataDxfId="39"/>
    <tableColumn id="13" xr3:uid="{6441036C-01DD-4130-8E4B-DBA441BCB744}" name="Salary" dataDxfId="38"/>
    <tableColumn id="14" xr3:uid="{ADCF531A-A98E-422C-939D-04D58C2423FB}" name="Pay Grade" dataDxfId="37"/>
    <tableColumn id="15" xr3:uid="{DE922695-AE31-4F31-8F89-61E6E7E646AB}" name="Bonus/Allowances" dataDxfId="36"/>
    <tableColumn id="16" xr3:uid="{62F2B816-9954-4A01-AEDC-4C13B3A2A52F}" name="Insurance Details" dataDxfId="35"/>
    <tableColumn id="17" xr3:uid="{6EFEC335-9B75-45D5-B403-A8A9E557BE24}" name="Leave Taken" dataDxfId="34"/>
    <tableColumn id="18" xr3:uid="{9DA1B78E-154E-42E4-A1BC-FE1CF363DCBA}" name="Performance Rating" dataDxfId="33"/>
    <tableColumn id="19" xr3:uid="{7E4B5E79-5639-4E3A-91A1-D1D8767BB705}" name="Training Programs Attended" dataDxfId="32"/>
    <tableColumn id="20" xr3:uid="{2E731344-8C6D-4001-9E36-F16B80500F61}" name="Skills" dataDxfId="31"/>
    <tableColumn id="21" xr3:uid="{9DCE550B-F788-4423-B330-CAB70C041DFC}" name="Certifications" dataDxfId="3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workbookViewId="0">
      <selection activeCell="B17" sqref="B17"/>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headerFooter>
    <oddHeader>&amp;C&amp;"Aptos"&amp;12&amp;K000000 Classification: Personal&amp;1#_x000D_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2895E-4358-4D34-BEA5-784404177E6B}">
  <dimension ref="A1:AB19"/>
  <sheetViews>
    <sheetView topLeftCell="C1" workbookViewId="0">
      <selection activeCell="S4" sqref="S4"/>
    </sheetView>
  </sheetViews>
  <sheetFormatPr defaultRowHeight="14.4"/>
  <cols>
    <col min="1" max="1" width="12.44140625" bestFit="1" customWidth="1"/>
    <col min="2" max="2" width="16.6640625" bestFit="1" customWidth="1"/>
    <col min="3" max="3" width="8.88671875" style="10"/>
    <col min="4" max="4" width="12.44140625" bestFit="1" customWidth="1"/>
    <col min="5" max="5" width="12.21875" bestFit="1" customWidth="1"/>
    <col min="6" max="6" width="17.21875" bestFit="1" customWidth="1"/>
    <col min="7" max="7" width="8.88671875" style="10"/>
    <col min="8" max="8" width="16.6640625" bestFit="1" customWidth="1"/>
    <col min="9" max="9" width="15.5546875" bestFit="1" customWidth="1"/>
    <col min="10" max="10" width="5" bestFit="1" customWidth="1"/>
    <col min="11" max="11" width="10.5546875" bestFit="1" customWidth="1"/>
    <col min="12" max="12" width="8.88671875" style="10"/>
    <col min="14" max="14" width="12.44140625" bestFit="1" customWidth="1"/>
    <col min="15" max="15" width="16.6640625" bestFit="1" customWidth="1"/>
    <col min="16" max="17" width="16.33203125" bestFit="1" customWidth="1"/>
    <col min="18" max="18" width="16.33203125" style="10" bestFit="1" customWidth="1"/>
    <col min="19" max="19" width="13.88671875" bestFit="1" customWidth="1"/>
    <col min="20" max="20" width="16.6640625" bestFit="1" customWidth="1"/>
    <col min="21" max="21" width="16.33203125" style="10" bestFit="1" customWidth="1"/>
    <col min="22" max="22" width="16.33203125" bestFit="1" customWidth="1"/>
    <col min="23" max="23" width="12.44140625" bestFit="1" customWidth="1"/>
    <col min="24" max="24" width="16.6640625" bestFit="1" customWidth="1"/>
    <col min="25" max="25" width="16.33203125" style="15" bestFit="1" customWidth="1"/>
    <col min="26" max="26" width="16.33203125" bestFit="1" customWidth="1"/>
    <col min="27" max="27" width="12.44140625" bestFit="1" customWidth="1"/>
    <col min="28" max="28" width="26.44140625" bestFit="1" customWidth="1"/>
    <col min="29" max="62" width="16.33203125" bestFit="1" customWidth="1"/>
    <col min="63" max="63" width="10.5546875" bestFit="1" customWidth="1"/>
  </cols>
  <sheetData>
    <row r="1" spans="1:28">
      <c r="A1" s="17" t="s">
        <v>217</v>
      </c>
      <c r="B1" s="17"/>
      <c r="D1" s="17" t="s">
        <v>220</v>
      </c>
      <c r="E1" s="17"/>
      <c r="F1" s="13"/>
      <c r="H1" s="17" t="s">
        <v>222</v>
      </c>
      <c r="I1" s="17"/>
      <c r="N1" s="17" t="s">
        <v>223</v>
      </c>
      <c r="O1" s="17"/>
      <c r="S1" s="17" t="s">
        <v>19</v>
      </c>
      <c r="T1" s="17"/>
      <c r="W1" s="17" t="s">
        <v>225</v>
      </c>
      <c r="X1" s="17"/>
      <c r="AA1" s="17" t="s">
        <v>226</v>
      </c>
      <c r="AB1" s="17"/>
    </row>
    <row r="2" spans="1:28">
      <c r="A2" s="7"/>
      <c r="B2" s="7"/>
      <c r="H2" s="5" t="s">
        <v>216</v>
      </c>
      <c r="I2" s="5" t="s">
        <v>221</v>
      </c>
      <c r="N2" s="5" t="s">
        <v>214</v>
      </c>
      <c r="O2" t="s">
        <v>216</v>
      </c>
      <c r="S2" s="5" t="s">
        <v>214</v>
      </c>
      <c r="T2" t="s">
        <v>216</v>
      </c>
      <c r="W2" s="5" t="s">
        <v>214</v>
      </c>
      <c r="X2" t="s">
        <v>216</v>
      </c>
      <c r="AA2" s="5" t="s">
        <v>214</v>
      </c>
      <c r="AB2" t="s">
        <v>227</v>
      </c>
    </row>
    <row r="3" spans="1:28">
      <c r="A3" s="5" t="s">
        <v>214</v>
      </c>
      <c r="B3" t="s">
        <v>216</v>
      </c>
      <c r="D3" s="5" t="s">
        <v>214</v>
      </c>
      <c r="E3" t="s">
        <v>219</v>
      </c>
      <c r="F3" t="s">
        <v>224</v>
      </c>
      <c r="H3" s="5" t="s">
        <v>214</v>
      </c>
      <c r="I3" t="s">
        <v>22</v>
      </c>
      <c r="J3" t="s">
        <v>37</v>
      </c>
      <c r="K3" t="s">
        <v>215</v>
      </c>
      <c r="N3" s="6" t="s">
        <v>44</v>
      </c>
      <c r="O3" s="18">
        <v>2</v>
      </c>
      <c r="S3" s="6" t="s">
        <v>75</v>
      </c>
      <c r="T3" s="18">
        <v>1</v>
      </c>
      <c r="W3" s="6" t="s">
        <v>39</v>
      </c>
      <c r="X3" s="18">
        <v>3</v>
      </c>
      <c r="AA3" s="6" t="s">
        <v>51</v>
      </c>
      <c r="AB3" s="16">
        <v>2.3333333333333335</v>
      </c>
    </row>
    <row r="4" spans="1:28">
      <c r="A4" s="6" t="s">
        <v>63</v>
      </c>
      <c r="B4" s="18">
        <v>2</v>
      </c>
      <c r="D4" s="6" t="s">
        <v>72</v>
      </c>
      <c r="E4" s="8">
        <v>96249</v>
      </c>
      <c r="F4" s="8">
        <v>7</v>
      </c>
      <c r="H4" s="6" t="s">
        <v>23</v>
      </c>
      <c r="I4" s="18">
        <v>2</v>
      </c>
      <c r="J4" s="18">
        <v>2</v>
      </c>
      <c r="K4" s="18">
        <v>4</v>
      </c>
      <c r="N4" s="6" t="s">
        <v>30</v>
      </c>
      <c r="O4" s="18">
        <v>1</v>
      </c>
      <c r="S4" s="6" t="s">
        <v>34</v>
      </c>
      <c r="T4" s="18">
        <v>1</v>
      </c>
      <c r="W4" s="6" t="s">
        <v>24</v>
      </c>
      <c r="X4" s="18">
        <v>1</v>
      </c>
      <c r="AA4" s="6" t="s">
        <v>215</v>
      </c>
      <c r="AB4" s="18">
        <v>2.3333333333333335</v>
      </c>
    </row>
    <row r="5" spans="1:28">
      <c r="A5" s="6" t="s">
        <v>29</v>
      </c>
      <c r="B5" s="18">
        <v>3</v>
      </c>
      <c r="D5" s="6" t="s">
        <v>50</v>
      </c>
      <c r="E5" s="8">
        <v>271748</v>
      </c>
      <c r="F5" s="8">
        <v>37</v>
      </c>
      <c r="H5" s="6" t="s">
        <v>38</v>
      </c>
      <c r="I5" s="18">
        <v>2</v>
      </c>
      <c r="J5" s="18">
        <v>1</v>
      </c>
      <c r="K5" s="18">
        <v>3</v>
      </c>
      <c r="N5" s="6" t="s">
        <v>54</v>
      </c>
      <c r="O5" s="18">
        <v>3</v>
      </c>
      <c r="S5" s="6" t="s">
        <v>96</v>
      </c>
      <c r="T5" s="18">
        <v>1</v>
      </c>
      <c r="W5" s="6" t="s">
        <v>80</v>
      </c>
      <c r="X5" s="18">
        <v>1</v>
      </c>
    </row>
    <row r="6" spans="1:28">
      <c r="A6" s="6" t="s">
        <v>111</v>
      </c>
      <c r="B6" s="18">
        <v>1</v>
      </c>
      <c r="D6" s="6" t="s">
        <v>25</v>
      </c>
      <c r="E6" s="8">
        <v>67582</v>
      </c>
      <c r="F6" s="8">
        <v>20</v>
      </c>
      <c r="H6" s="6" t="s">
        <v>59</v>
      </c>
      <c r="I6" s="18">
        <v>2</v>
      </c>
      <c r="J6" s="18">
        <v>1</v>
      </c>
      <c r="K6" s="18">
        <v>3</v>
      </c>
      <c r="N6" s="6" t="s">
        <v>215</v>
      </c>
      <c r="O6" s="18">
        <v>6</v>
      </c>
      <c r="S6" s="6" t="s">
        <v>56</v>
      </c>
      <c r="T6" s="18">
        <v>3</v>
      </c>
      <c r="W6" s="6" t="s">
        <v>49</v>
      </c>
      <c r="X6" s="18">
        <v>1</v>
      </c>
    </row>
    <row r="7" spans="1:28">
      <c r="A7" s="6" t="s">
        <v>215</v>
      </c>
      <c r="B7" s="18">
        <v>6</v>
      </c>
      <c r="D7" s="6" t="s">
        <v>215</v>
      </c>
      <c r="E7" s="8">
        <v>435579</v>
      </c>
      <c r="F7" s="8">
        <v>64</v>
      </c>
      <c r="H7" s="6" t="s">
        <v>68</v>
      </c>
      <c r="I7" s="18"/>
      <c r="J7" s="18">
        <v>1</v>
      </c>
      <c r="K7" s="18">
        <v>1</v>
      </c>
      <c r="S7" s="6" t="s">
        <v>215</v>
      </c>
      <c r="T7" s="18">
        <v>6</v>
      </c>
      <c r="W7" s="6" t="s">
        <v>215</v>
      </c>
      <c r="X7" s="18">
        <v>6</v>
      </c>
    </row>
    <row r="8" spans="1:28">
      <c r="H8" s="6" t="s">
        <v>215</v>
      </c>
      <c r="I8" s="18">
        <v>6</v>
      </c>
      <c r="J8" s="18">
        <v>5</v>
      </c>
      <c r="K8" s="18">
        <v>11</v>
      </c>
      <c r="N8" s="6" t="s">
        <v>44</v>
      </c>
      <c r="O8">
        <f>IFERROR(GETPIVOTDATA("Full Name",$N$2,"Work Location","Branch Office"),"0")</f>
        <v>2</v>
      </c>
      <c r="P8" s="11">
        <f>SUM(O8)/SUM($O$8:$O$10)</f>
        <v>0.33333333333333331</v>
      </c>
      <c r="Q8" s="12">
        <f>1-P8</f>
        <v>0.66666666666666674</v>
      </c>
    </row>
    <row r="9" spans="1:28">
      <c r="A9" s="6" t="s">
        <v>63</v>
      </c>
      <c r="B9">
        <f>IFERROR(GETPIVOTDATA("Full Name",$A$3,"Employment Status","Contract"),"0")</f>
        <v>2</v>
      </c>
      <c r="N9" s="6" t="s">
        <v>30</v>
      </c>
      <c r="O9">
        <f>IFERROR(GETPIVOTDATA("Full Name",$N$2,"Work Location","Head Office"),"0")</f>
        <v>1</v>
      </c>
      <c r="P9" s="11">
        <f>SUM(O9)/SUM($O$8:$O$10)</f>
        <v>0.16666666666666666</v>
      </c>
      <c r="Q9" s="12">
        <f>1-P9</f>
        <v>0.83333333333333337</v>
      </c>
    </row>
    <row r="10" spans="1:28">
      <c r="A10" s="6" t="s">
        <v>29</v>
      </c>
      <c r="B10">
        <f>IFERROR(GETPIVOTDATA("Full Name",$A$3,"Employment Status","Full-Time"),"0")</f>
        <v>3</v>
      </c>
      <c r="N10" s="6" t="s">
        <v>54</v>
      </c>
      <c r="O10">
        <f>IFERROR(GETPIVOTDATA("Full Name",$N$2,"Work Location","Remote"),"0")</f>
        <v>3</v>
      </c>
      <c r="P10" s="11">
        <f>SUM(O10)/SUM($O$8:$O$10)</f>
        <v>0.5</v>
      </c>
      <c r="Q10" s="12">
        <f>1-P10</f>
        <v>0.5</v>
      </c>
      <c r="S10" s="6" t="s">
        <v>75</v>
      </c>
      <c r="T10">
        <f>IFERROR(GETPIVOTDATA("Full Name",$S$2,"Skills","Communication"),"0")</f>
        <v>1</v>
      </c>
      <c r="W10" s="6" t="s">
        <v>39</v>
      </c>
      <c r="X10">
        <f>IFERROR(GETPIVOTDATA("Full Name",$W$2,"Region","Central"),"0")</f>
        <v>3</v>
      </c>
      <c r="AA10" s="6" t="s">
        <v>26</v>
      </c>
      <c r="AB10" s="16" t="str">
        <f>IFERROR(GETPIVOTDATA("Performance Rating",$AA$2,"Department","Finance"),"0")</f>
        <v>0</v>
      </c>
    </row>
    <row r="11" spans="1:28">
      <c r="A11" s="6" t="s">
        <v>111</v>
      </c>
      <c r="B11">
        <f>IFERROR(GETPIVOTDATA("Full Name",$A$3,"Employment Status","Part-Time"),"0")</f>
        <v>1</v>
      </c>
      <c r="D11" s="6" t="s">
        <v>121</v>
      </c>
      <c r="E11" s="9" t="str">
        <f>IFERROR(GETPIVOTDATA("Salary",$D$3,"Job Title","Analyst"),"0")</f>
        <v>0</v>
      </c>
      <c r="F11" s="9" t="str">
        <f>IFERROR(GETPIVOTDATA("Sum of Leave Taken",$D$3,"Job Title","Analyst"),"0")</f>
        <v>0</v>
      </c>
      <c r="H11" s="6" t="s">
        <v>23</v>
      </c>
      <c r="I11">
        <f>IFERROR(GETPIVOTDATA("Full Name",$H$2,"Age range","18-25"),"0")</f>
        <v>4</v>
      </c>
      <c r="N11" s="6" t="s">
        <v>218</v>
      </c>
      <c r="O11">
        <f>IFERROR(GETPIVOTDATA("Full Name",$N$2),"0")</f>
        <v>6</v>
      </c>
      <c r="S11" s="6" t="s">
        <v>34</v>
      </c>
      <c r="T11">
        <f>IFERROR(GETPIVOTDATA("Full Name",$S$2,"Skills","Design"),"0")</f>
        <v>1</v>
      </c>
      <c r="W11" s="6" t="s">
        <v>24</v>
      </c>
      <c r="X11">
        <f>IFERROR(GETPIVOTDATA("Full Name",$W$2,"Region","East"),"0")</f>
        <v>1</v>
      </c>
      <c r="AA11" s="6" t="s">
        <v>41</v>
      </c>
      <c r="AB11" s="16" t="str">
        <f>IFERROR(GETPIVOTDATA("Performance Rating",$AA$2,"Department","HR"),"0")</f>
        <v>0</v>
      </c>
    </row>
    <row r="12" spans="1:28">
      <c r="A12" s="6" t="s">
        <v>218</v>
      </c>
      <c r="B12">
        <f>IFERROR(GETPIVOTDATA("Full Name",$A$3),"0")</f>
        <v>6</v>
      </c>
      <c r="D12" s="6" t="s">
        <v>40</v>
      </c>
      <c r="E12" s="9" t="str">
        <f>IFERROR(GETPIVOTDATA("Salary",$D$3,"Job Title","Designer"),"0")</f>
        <v>0</v>
      </c>
      <c r="F12" s="9" t="str">
        <f>IFERROR(GETPIVOTDATA("Sum of Leave Taken",$D$3,"Job Title","Designer"),"0")</f>
        <v>0</v>
      </c>
      <c r="H12" s="6" t="s">
        <v>38</v>
      </c>
      <c r="I12">
        <f>IFERROR(GETPIVOTDATA("Full Name",$H$2,"Age range","26-35"),"0")</f>
        <v>3</v>
      </c>
      <c r="S12" s="6" t="s">
        <v>96</v>
      </c>
      <c r="T12">
        <f>IFERROR(GETPIVOTDATA("Full Name",$S$2,"Skills","Excel"),"0")</f>
        <v>1</v>
      </c>
      <c r="W12" s="6" t="s">
        <v>102</v>
      </c>
      <c r="X12" t="str">
        <f>IFERROR(GETPIVOTDATA("Full Name",$W$2,"Region","North"),"0")</f>
        <v>0</v>
      </c>
      <c r="AA12" s="6" t="s">
        <v>81</v>
      </c>
      <c r="AB12" s="16" t="str">
        <f>IFERROR(GETPIVOTDATA("Performance Rating",$AA$2,"Department","IT"),"0")</f>
        <v>0</v>
      </c>
    </row>
    <row r="13" spans="1:28">
      <c r="D13" s="6" t="s">
        <v>72</v>
      </c>
      <c r="E13" s="9">
        <f>IFERROR(GETPIVOTDATA("Salary",$D$3,"Job Title","Developer"),"0")</f>
        <v>96249</v>
      </c>
      <c r="F13" s="9">
        <f>IFERROR(GETPIVOTDATA("Sum of Leave Taken",$D$3,"Job Title","Developer"),"0")</f>
        <v>7</v>
      </c>
      <c r="H13" s="6" t="s">
        <v>59</v>
      </c>
      <c r="I13">
        <f>IFERROR(GETPIVOTDATA("Full Name",$H$2,"Age range","36-45"),"0")</f>
        <v>3</v>
      </c>
      <c r="S13" s="6" t="s">
        <v>56</v>
      </c>
      <c r="T13">
        <f>IFERROR(GETPIVOTDATA("Full Name",$S$2,"Skills","Management"),"0")</f>
        <v>3</v>
      </c>
      <c r="W13" s="6" t="s">
        <v>80</v>
      </c>
      <c r="X13">
        <f>IFERROR(GETPIVOTDATA("Full Name",$W$2,"Region","South"),"0")</f>
        <v>1</v>
      </c>
      <c r="AA13" s="6" t="s">
        <v>51</v>
      </c>
      <c r="AB13" s="16">
        <f>IFERROR(GETPIVOTDATA("Performance Rating",$AA$2,"Department","Marketing"),"0")</f>
        <v>2.3333333333333335</v>
      </c>
    </row>
    <row r="14" spans="1:28">
      <c r="D14" s="6" t="s">
        <v>50</v>
      </c>
      <c r="E14" s="9">
        <f>IFERROR(GETPIVOTDATA("Salary",$D$3,"Job Title","HR Specialist"),"0")</f>
        <v>271748</v>
      </c>
      <c r="F14" s="9">
        <f>IFERROR(GETPIVOTDATA("Sum of Leave Taken",$D$3,"Job Title","HR Specialist"),"0")</f>
        <v>37</v>
      </c>
      <c r="H14" s="6" t="s">
        <v>98</v>
      </c>
      <c r="I14" t="str">
        <f>IFERROR(GETPIVOTDATA("Full Name",$H$2,"Age range","46-55"),"0")</f>
        <v>0</v>
      </c>
      <c r="S14" s="6" t="s">
        <v>66</v>
      </c>
      <c r="T14" t="str">
        <f>IFERROR(GETPIVOTDATA("Full Name",$S$2,"Skills","Python"),"0")</f>
        <v>0</v>
      </c>
      <c r="W14" s="6" t="s">
        <v>49</v>
      </c>
      <c r="X14">
        <f>IFERROR(GETPIVOTDATA("Full Name",$W$2,"Region","West"),"0")</f>
        <v>1</v>
      </c>
      <c r="AA14" s="6" t="s">
        <v>60</v>
      </c>
      <c r="AB14" s="16" t="str">
        <f>IFERROR(GETPIVOTDATA("Performance Rating",$AA$2,"Department","Operations"),"0")</f>
        <v>0</v>
      </c>
    </row>
    <row r="15" spans="1:28">
      <c r="D15" s="6" t="s">
        <v>25</v>
      </c>
      <c r="E15" s="9">
        <f>IFERROR(GETPIVOTDATA("Salary",$D$3,"Job Title","Manager"),"0")</f>
        <v>67582</v>
      </c>
      <c r="F15" s="9">
        <f>IFERROR(GETPIVOTDATA("Sum of Leave Taken",$D$3,"Job Title","Manager"),"0")</f>
        <v>20</v>
      </c>
      <c r="H15" s="6" t="s">
        <v>68</v>
      </c>
      <c r="I15">
        <f>IFERROR(GETPIVOTDATA("Full Name",$H$2,"Age range","56 &lt;"),"0")</f>
        <v>1</v>
      </c>
      <c r="S15" s="6" t="s">
        <v>218</v>
      </c>
      <c r="T15">
        <f>IFERROR(GETPIVOTDATA("Full Name",$S$2),"0")</f>
        <v>6</v>
      </c>
      <c r="W15" s="6" t="s">
        <v>218</v>
      </c>
      <c r="X15">
        <f>IFERROR(GETPIVOTDATA("Full Name",$W$2),"0")</f>
        <v>6</v>
      </c>
      <c r="AA15" s="6" t="s">
        <v>218</v>
      </c>
      <c r="AB15" s="16">
        <f>IFERROR(GETPIVOTDATA("Performance Rating",$AA$2),"0")</f>
        <v>2.3333333333333335</v>
      </c>
    </row>
    <row r="16" spans="1:28">
      <c r="D16" s="6" t="s">
        <v>218</v>
      </c>
      <c r="E16" s="9">
        <f>IFERROR(GETPIVOTDATA("Salary",$D$3),"0")</f>
        <v>435579</v>
      </c>
      <c r="F16" s="9">
        <f>IFERROR(GETPIVOTDATA("Sum of Leave Taken",$D$3),"0")</f>
        <v>64</v>
      </c>
      <c r="H16" s="6" t="s">
        <v>218</v>
      </c>
      <c r="I16">
        <f>IFERROR(GETPIVOTDATA("Full Name",$H$2),"0")</f>
        <v>11</v>
      </c>
    </row>
    <row r="18" spans="8:11">
      <c r="H18" s="6" t="s">
        <v>37</v>
      </c>
      <c r="I18">
        <f>IFERROR(GETPIVOTDATA("Full Name",$H$2,"Gender","Female"),"0")</f>
        <v>6</v>
      </c>
      <c r="J18" s="11">
        <f>SUM(I18)/SUM($I$18:$I$19)</f>
        <v>0.54545454545454541</v>
      </c>
      <c r="K18" s="12">
        <f>1-J18</f>
        <v>0.45454545454545459</v>
      </c>
    </row>
    <row r="19" spans="8:11">
      <c r="H19" s="6" t="s">
        <v>22</v>
      </c>
      <c r="I19">
        <f>IFERROR(GETPIVOTDATA("Full Name",$H$2,"Gender","Male"),"0")</f>
        <v>5</v>
      </c>
      <c r="J19" s="11">
        <f>SUM(I19)/SUM($I$18:$I$19)</f>
        <v>0.45454545454545453</v>
      </c>
      <c r="K19" s="12">
        <f>1-J19</f>
        <v>0.54545454545454541</v>
      </c>
    </row>
  </sheetData>
  <mergeCells count="7">
    <mergeCell ref="W1:X1"/>
    <mergeCell ref="AA1:AB1"/>
    <mergeCell ref="A1:B1"/>
    <mergeCell ref="D1:E1"/>
    <mergeCell ref="H1:I1"/>
    <mergeCell ref="N1:O1"/>
    <mergeCell ref="S1:T1"/>
  </mergeCells>
  <pageMargins left="0.7" right="0.7" top="0.75" bottom="0.75" header="0.3" footer="0.3"/>
  <headerFooter>
    <oddHeader>&amp;C&amp;"Aptos"&amp;12&amp;K000000 Classification: Personal&amp;1#_x000D_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67E82-86B1-41B7-BD28-D6648E927389}">
  <dimension ref="E7:F36"/>
  <sheetViews>
    <sheetView showGridLines="0" tabSelected="1" zoomScale="82" workbookViewId="0">
      <selection activeCell="S14" sqref="S14"/>
    </sheetView>
  </sheetViews>
  <sheetFormatPr defaultRowHeight="14.4"/>
  <sheetData>
    <row r="7" spans="6:6">
      <c r="F7" s="4"/>
    </row>
    <row r="36" spans="5:5">
      <c r="E36" s="14"/>
    </row>
  </sheetData>
  <pageMargins left="0.7" right="0.7" top="0.75" bottom="0.75" header="0.3" footer="0.3"/>
  <headerFooter>
    <oddHeader>&amp;C&amp;"Aptos"&amp;12&amp;K000000 Classification: Personal&amp;1#_x000D_</oddHeader>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بدور بنت الجابري الهلالي</cp:lastModifiedBy>
  <dcterms:created xsi:type="dcterms:W3CDTF">2024-12-11T17:14:33Z</dcterms:created>
  <dcterms:modified xsi:type="dcterms:W3CDTF">2026-04-24T07:31:48Z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f8d6a5-bf9f-4375-9540-e40419c95d83_Enabled">
    <vt:lpwstr>true</vt:lpwstr>
  </property>
  <property fmtid="{D5CDD505-2E9C-101B-9397-08002B2CF9AE}" pid="3" name="MSIP_Label_5ff8d6a5-bf9f-4375-9540-e40419c95d83_SetDate">
    <vt:lpwstr>2026-04-19T07:54:32Z</vt:lpwstr>
  </property>
  <property fmtid="{D5CDD505-2E9C-101B-9397-08002B2CF9AE}" pid="4" name="MSIP_Label_5ff8d6a5-bf9f-4375-9540-e40419c95d83_Method">
    <vt:lpwstr>Standard</vt:lpwstr>
  </property>
  <property fmtid="{D5CDD505-2E9C-101B-9397-08002B2CF9AE}" pid="5" name="MSIP_Label_5ff8d6a5-bf9f-4375-9540-e40419c95d83_Name">
    <vt:lpwstr>Personal</vt:lpwstr>
  </property>
  <property fmtid="{D5CDD505-2E9C-101B-9397-08002B2CF9AE}" pid="6" name="MSIP_Label_5ff8d6a5-bf9f-4375-9540-e40419c95d83_SiteId">
    <vt:lpwstr>3e03b2a3-cd3a-46f7-b051-76b43344f993</vt:lpwstr>
  </property>
  <property fmtid="{D5CDD505-2E9C-101B-9397-08002B2CF9AE}" pid="7" name="MSIP_Label_5ff8d6a5-bf9f-4375-9540-e40419c95d83_ActionId">
    <vt:lpwstr>1730938e-a6d9-4add-855b-4fb9e231cd72</vt:lpwstr>
  </property>
  <property fmtid="{D5CDD505-2E9C-101B-9397-08002B2CF9AE}" pid="8" name="MSIP_Label_5ff8d6a5-bf9f-4375-9540-e40419c95d83_ContentBits">
    <vt:lpwstr>1</vt:lpwstr>
  </property>
  <property fmtid="{D5CDD505-2E9C-101B-9397-08002B2CF9AE}" pid="9" name="MSIP_Label_5ff8d6a5-bf9f-4375-9540-e40419c95d83_Tag">
    <vt:lpwstr>10, 3, 0, 1</vt:lpwstr>
  </property>
</Properties>
</file>